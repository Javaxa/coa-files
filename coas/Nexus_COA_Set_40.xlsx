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Javakha25\Downloads\Check Numbers\"/>
    </mc:Choice>
  </mc:AlternateContent>
  <xr:revisionPtr revIDLastSave="0" documentId="8_{F6CBA94F-13F7-4287-B467-F41E4DF0012C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COA Details" sheetId="1" r:id="rId1"/>
    <sheet name="Lab Sheet " sheetId="2" r:id="rId2"/>
    <sheet name="Original ATS  Sample Results" sheetId="3" r:id="rId3"/>
  </sheets>
  <definedNames>
    <definedName name="_xlnm.Print_Area" localSheetId="0">'COA Details'!$A$1:$T$54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7" i="2" l="1"/>
  <c r="Q27" i="2"/>
  <c r="P27" i="2"/>
  <c r="R27" i="2" s="1"/>
  <c r="N27" i="2"/>
  <c r="M27" i="2"/>
  <c r="J25" i="2"/>
  <c r="J24" i="2"/>
  <c r="J23" i="2"/>
  <c r="Q21" i="2"/>
  <c r="S21" i="2" s="1"/>
  <c r="P21" i="2"/>
  <c r="R21" i="2" s="1"/>
  <c r="M21" i="2"/>
  <c r="N21" i="2" s="1"/>
  <c r="R20" i="2"/>
  <c r="P20" i="2"/>
  <c r="Q20" i="2" s="1"/>
  <c r="S20" i="2" s="1"/>
  <c r="M20" i="2"/>
  <c r="N20" i="2" s="1"/>
  <c r="R19" i="2"/>
  <c r="Q19" i="2"/>
  <c r="S19" i="2" s="1"/>
  <c r="P19" i="2"/>
  <c r="M19" i="2"/>
  <c r="N19" i="2" s="1"/>
  <c r="P18" i="2"/>
  <c r="R18" i="2" s="1"/>
  <c r="M18" i="2"/>
  <c r="N18" i="2" s="1"/>
  <c r="Q18" i="2" l="1"/>
  <c r="S18" i="2" s="1"/>
</calcChain>
</file>

<file path=xl/sharedStrings.xml><?xml version="1.0" encoding="utf-8"?>
<sst xmlns="http://schemas.openxmlformats.org/spreadsheetml/2006/main" count="464" uniqueCount="237">
  <si>
    <r>
      <rPr>
        <b/>
        <vertAlign val="superscript"/>
        <sz val="10"/>
        <color rgb="FF000000"/>
        <rFont val="Arial"/>
        <family val="2"/>
        <charset val="1"/>
      </rPr>
      <t>1</t>
    </r>
    <r>
      <rPr>
        <b/>
        <sz val="10"/>
        <color rgb="FF000000"/>
        <rFont val="Arial"/>
        <family val="2"/>
        <charset val="1"/>
      </rPr>
      <t>Lithium metaborate fusion sample preparation and calculations</t>
    </r>
  </si>
  <si>
    <t>Aqua Regia Prep and Calculations</t>
  </si>
  <si>
    <t>Procedure:</t>
  </si>
  <si>
    <t>13085 Ash Street</t>
  </si>
  <si>
    <t>Thornton, CO  80241</t>
  </si>
  <si>
    <t>1.    Label an empty high density polyethylene (HDPE) bottle with lid. Weigh empty bottle plus lid.*</t>
  </si>
  <si>
    <t>2.    Add approximately 60 ml 1N HNO3 to bottle.</t>
  </si>
  <si>
    <t>Certificate of Analysis</t>
  </si>
  <si>
    <t>3.    Replace cap and weight bottle + acid.</t>
  </si>
  <si>
    <t>4.    Place clean graphite crucible on scale and tare.</t>
  </si>
  <si>
    <t xml:space="preserve">5.    Add approximately 0.8 to 1.2 grams of lithium metaborate flux to crucible and weigh. </t>
  </si>
  <si>
    <t>Red River Creek Mining Group LLC</t>
  </si>
  <si>
    <t>Date:</t>
  </si>
  <si>
    <t>6.    Tare scale and add approximately 0.1 g of approximately 80% passing 75 micron sized powdered</t>
  </si>
  <si>
    <t>1712 Carey Avenue</t>
  </si>
  <si>
    <t>Page:</t>
  </si>
  <si>
    <t>1 of 1</t>
  </si>
  <si>
    <t xml:space="preserve">       rock sample to the crucible containing</t>
  </si>
  <si>
    <t>Suite 100</t>
  </si>
  <si>
    <t>Assay Reference #:</t>
  </si>
  <si>
    <t>tbd</t>
  </si>
  <si>
    <t xml:space="preserve">       the previously measured flux and weigh.</t>
  </si>
  <si>
    <t>Cheyenne, WY  82001</t>
  </si>
  <si>
    <t>7.    Place crucible into a preheated muffle furnace (500 C).</t>
  </si>
  <si>
    <t>8.    Bring furnace up to 950 - 1000 C.  Sample to remain at this temperature for 20 minutes.</t>
  </si>
  <si>
    <t>Batch 40</t>
  </si>
  <si>
    <t>9.    Using tongs, remove crucible from furnace and immediately pour molten flux into a metal washer</t>
  </si>
  <si>
    <t xml:space="preserve">       to cast a glass button.</t>
  </si>
  <si>
    <r>
      <rPr>
        <b/>
        <sz val="10"/>
        <color rgb="FF000000"/>
        <rFont val="Arial"/>
        <family val="2"/>
        <charset val="1"/>
      </rPr>
      <t>Sample Preparation</t>
    </r>
    <r>
      <rPr>
        <b/>
        <vertAlign val="superscript"/>
        <sz val="10"/>
        <color rgb="FF000000"/>
        <rFont val="Arial"/>
        <family val="2"/>
        <charset val="1"/>
      </rPr>
      <t>1</t>
    </r>
  </si>
  <si>
    <t>Aqua Regia Digestion – ICP/MS &amp;</t>
  </si>
  <si>
    <t>10.  Transfer glass flux bead from washer to the appropriate bottle containing 1 N HNO3.</t>
  </si>
  <si>
    <t>1 sample AR with LMB/ICP-MS</t>
  </si>
  <si>
    <t>Nexus Geos LLC</t>
  </si>
  <si>
    <t>11.  Recap bottle and weigh.</t>
  </si>
  <si>
    <t>Method Code:  Rich31.M</t>
  </si>
  <si>
    <t>12.  Place bottle with sample on a hot plate or similar heater until the flux button is completely dissolved</t>
  </si>
  <si>
    <t>13.  The liquid sample is sent to the University of Nebraska for instrumental analysis.</t>
  </si>
  <si>
    <t xml:space="preserve">14.  ICP-MS analytical results are adjusted back to the original sample weight. </t>
  </si>
  <si>
    <r>
      <rPr>
        <b/>
        <sz val="10"/>
        <color rgb="FF000000"/>
        <rFont val="Arial"/>
        <family val="2"/>
        <charset val="1"/>
      </rPr>
      <t>Sample Analysis</t>
    </r>
    <r>
      <rPr>
        <b/>
        <vertAlign val="superscript"/>
        <sz val="10"/>
        <color rgb="FF000000"/>
        <rFont val="Arial"/>
        <family val="2"/>
        <charset val="1"/>
      </rPr>
      <t>2</t>
    </r>
  </si>
  <si>
    <t>Inductively coupled plasma mass spectrometry (ICP-MS)</t>
  </si>
  <si>
    <t>University of Nebraska-Lincoln</t>
  </si>
  <si>
    <t>* By request UNIV of NE. 15 ml aliquot of solution transferred from 60 ml bottle and submitted for analysis.</t>
  </si>
  <si>
    <t>Redox Biology Center</t>
  </si>
  <si>
    <t>Spectroscopic and Biophysics Core Facility</t>
  </si>
  <si>
    <t>      Dilution factor = (acid weight + button weight) / sample weight</t>
  </si>
  <si>
    <t>E157 Beadle Center</t>
  </si>
  <si>
    <t xml:space="preserve">      PPB is converted to ppm by dividing by 1,000.</t>
  </si>
  <si>
    <t>Lincoln, NE  68588-0662</t>
  </si>
  <si>
    <t xml:space="preserve">      PPM/weight x dilution factor = assay value (ppm)</t>
  </si>
  <si>
    <t>Method Code:  22-6230-0007 ICP-MS</t>
  </si>
  <si>
    <t>      Efficiency = ((flux weight + sample weight), pre-heat) / ((flux weight + sample weight), post heat)</t>
  </si>
  <si>
    <r>
      <rPr>
        <b/>
        <vertAlign val="superscript"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Arial"/>
        <family val="2"/>
        <charset val="1"/>
      </rPr>
      <t>Inductively coupled plasma mass spectrometer unit:  Agilent 7500 cx</t>
    </r>
  </si>
  <si>
    <t xml:space="preserve">      Detection Limit:</t>
  </si>
  <si>
    <t>The detection limit of the ICP-MS unit is variable depending on each sample run.</t>
  </si>
  <si>
    <t>There are multiple samples per sample run and potentially multiple sample runs</t>
  </si>
  <si>
    <t>per data set included within a single Certificate of Analysis.</t>
  </si>
  <si>
    <t>Negative values shown as assay values represent the absolute value of the</t>
  </si>
  <si>
    <t>detection limit.  If there are no negative values within a data set, that indicates</t>
  </si>
  <si>
    <t>reported values are above the detection limit.</t>
  </si>
  <si>
    <t>Chain of Custody:</t>
  </si>
  <si>
    <t>Date Nexus received original samples:</t>
  </si>
  <si>
    <t>Date Nexus prepared the samples (LMB):</t>
  </si>
  <si>
    <t>NEXUS Did Acid Digestion of filter samples</t>
  </si>
  <si>
    <t>Date University of Nebraska analysis:</t>
  </si>
  <si>
    <t>I</t>
  </si>
  <si>
    <t>Lab sheet for Batch 40 ATS Filter samples RRCMG Cuddeback Lake Project</t>
  </si>
  <si>
    <t>Description</t>
  </si>
  <si>
    <t>RRCM STID</t>
  </si>
  <si>
    <t>DA</t>
  </si>
  <si>
    <t xml:space="preserve">RRCM Lab ID </t>
  </si>
  <si>
    <t>Receiving Lab</t>
  </si>
  <si>
    <t xml:space="preserve">Container  </t>
  </si>
  <si>
    <t>matrix</t>
  </si>
  <si>
    <t>Sample Set #</t>
  </si>
  <si>
    <t>Weighed at Nexus</t>
  </si>
  <si>
    <t>Reported Weight</t>
  </si>
  <si>
    <t>AR ml</t>
  </si>
  <si>
    <t>Extract kg</t>
  </si>
  <si>
    <t>ATS Liters</t>
  </si>
  <si>
    <t>H2O Amount Liters</t>
  </si>
  <si>
    <t>Date</t>
  </si>
  <si>
    <t>Notes</t>
  </si>
  <si>
    <t>Electrolysis - Cathode Harvest</t>
  </si>
  <si>
    <t>157907-157910</t>
  </si>
  <si>
    <t>RRCM-01454</t>
  </si>
  <si>
    <t>Nexus UofN</t>
  </si>
  <si>
    <t>Envelope</t>
  </si>
  <si>
    <t>N/A</t>
  </si>
  <si>
    <t>TBD</t>
  </si>
  <si>
    <t>&gt;1g</t>
  </si>
  <si>
    <t>Electrolysis - Anode Slime</t>
  </si>
  <si>
    <t>160775-160778</t>
  </si>
  <si>
    <t>RRCM-01455</t>
  </si>
  <si>
    <t>RRCM-01456</t>
  </si>
  <si>
    <t>Electrolysis - Percipitate</t>
  </si>
  <si>
    <t>RRCM-01457</t>
  </si>
  <si>
    <t>12.3g</t>
  </si>
  <si>
    <t>Spent Fluid Test - Al Flir</t>
  </si>
  <si>
    <t>157842-157845</t>
  </si>
  <si>
    <t>RRCM-01458</t>
  </si>
  <si>
    <t>Aluminum</t>
  </si>
  <si>
    <t>7.2g</t>
  </si>
  <si>
    <t>Spent Fluid Test - Cu Flir</t>
  </si>
  <si>
    <t>RRCM-01459</t>
  </si>
  <si>
    <t>Copper</t>
  </si>
  <si>
    <t>12.5g</t>
  </si>
  <si>
    <t>157710-15713</t>
  </si>
  <si>
    <t>RRCM-01460</t>
  </si>
  <si>
    <t>7g</t>
  </si>
  <si>
    <t>Blank ATS Solution</t>
  </si>
  <si>
    <t>ATS Fluid</t>
  </si>
  <si>
    <t>RRCM-01461</t>
  </si>
  <si>
    <t>Bottle</t>
  </si>
  <si>
    <t>1L</t>
  </si>
  <si>
    <t>Sample</t>
  </si>
  <si>
    <t>ID</t>
  </si>
  <si>
    <t>Crucible</t>
  </si>
  <si>
    <t>Crucible + Wet Sample</t>
  </si>
  <si>
    <t>Crucible + Ash Sample</t>
  </si>
  <si>
    <t>Method</t>
  </si>
  <si>
    <t>Flux Weight</t>
  </si>
  <si>
    <t>Dry Sample Weight</t>
  </si>
  <si>
    <t>Bottle Weight</t>
  </si>
  <si>
    <t>Bottle + Acid Weight</t>
  </si>
  <si>
    <t>Acid weight</t>
  </si>
  <si>
    <t>Calc Acid vol</t>
  </si>
  <si>
    <t>Bottle + Acid + Sample</t>
  </si>
  <si>
    <t>Weight sans bottle</t>
  </si>
  <si>
    <t>samp+flux Calc</t>
  </si>
  <si>
    <t>Dilu factor</t>
  </si>
  <si>
    <t>efficiency</t>
  </si>
  <si>
    <t>date</t>
  </si>
  <si>
    <t>B40-1</t>
  </si>
  <si>
    <t>Cathode</t>
  </si>
  <si>
    <t>LMB</t>
  </si>
  <si>
    <t>B40-2</t>
  </si>
  <si>
    <t>Anode</t>
  </si>
  <si>
    <t>B40-3</t>
  </si>
  <si>
    <t>B40-4</t>
  </si>
  <si>
    <t>Precipitate</t>
  </si>
  <si>
    <t xml:space="preserve">Total </t>
  </si>
  <si>
    <t>B40-5</t>
  </si>
  <si>
    <t>AR</t>
  </si>
  <si>
    <t>'+5ml HNO3 +100ml H2O</t>
  </si>
  <si>
    <t>125 ml</t>
  </si>
  <si>
    <t>B40-6</t>
  </si>
  <si>
    <t>+5ml HNO3</t>
  </si>
  <si>
    <t>45 ml</t>
  </si>
  <si>
    <t>B40-7</t>
  </si>
  <si>
    <t>30 ml</t>
  </si>
  <si>
    <t>B40-8</t>
  </si>
  <si>
    <t>ATS</t>
  </si>
  <si>
    <t>Direct</t>
  </si>
  <si>
    <t>B40-9</t>
  </si>
  <si>
    <t>Powderhorn</t>
  </si>
  <si>
    <t>Ammonium thiosulfate extraction test – Cuddeback Lake Playa Samples –Batch 40</t>
  </si>
  <si>
    <t>Lab ID</t>
  </si>
  <si>
    <t>Filter</t>
  </si>
  <si>
    <t>units</t>
  </si>
  <si>
    <t>Element</t>
  </si>
  <si>
    <t>Li</t>
  </si>
  <si>
    <t>Be</t>
  </si>
  <si>
    <t>Na</t>
  </si>
  <si>
    <t>Mg</t>
  </si>
  <si>
    <t>Al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</si>
  <si>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</si>
  <si>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</si>
  <si>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</si>
  <si>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</si>
  <si>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</si>
  <si>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</si>
  <si>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</si>
  <si>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</si>
  <si>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</si>
  <si>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</si>
  <si>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</si>
  <si>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</si>
  <si>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</si>
  <si>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</si>
  <si>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</si>
  <si>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</si>
  <si>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</si>
  <si>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</si>
  <si>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</si>
  <si>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</si>
  <si>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</si>
  <si>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</si>
  <si>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</si>
  <si>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 xml:space="preserve">Nb </t>
  </si>
  <si>
    <t>Mo</t>
  </si>
  <si>
    <t>Ru</t>
  </si>
  <si>
    <t>Rh</t>
  </si>
  <si>
    <t>Pd</t>
  </si>
  <si>
    <t>Ag</t>
  </si>
  <si>
    <t>In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</si>
  <si>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</si>
  <si>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</si>
  <si>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</si>
  <si>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</si>
  <si>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</si>
  <si>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</si>
  <si>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</si>
  <si>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</si>
  <si>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</si>
  <si>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</si>
  <si>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</si>
  <si>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</si>
  <si>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</si>
  <si>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</si>
  <si>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</si>
  <si>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</si>
  <si>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</si>
  <si>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</si>
  <si>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</si>
  <si>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</si>
  <si>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</si>
  <si>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</si>
  <si>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</si>
  <si>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</si>
  <si>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</si>
  <si>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</si>
  <si>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Tl</t>
  </si>
  <si>
    <t>Bi</t>
  </si>
  <si>
    <t>Th</t>
  </si>
  <si>
    <t>U</t>
  </si>
  <si>
    <t>A/W</t>
  </si>
  <si>
    <t>40-1</t>
  </si>
  <si>
    <t>g/tonne</t>
  </si>
  <si>
    <t>40-2</t>
  </si>
  <si>
    <t>40-3</t>
  </si>
  <si>
    <t>40-4</t>
  </si>
  <si>
    <t>40-5</t>
  </si>
  <si>
    <t>ATS-79</t>
  </si>
  <si>
    <t>ATS-80</t>
  </si>
  <si>
    <t>ATS-81</t>
  </si>
  <si>
    <t>Blank</t>
  </si>
  <si>
    <t>ATS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</si>
</sst>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0.0000"/>
    <numFmt numFmtId="166" formatCode="mm/dd/yyyy"/>
    <numFmt numFmtId="167" formatCode="#,##0.0000"/>
  </numFmts>
  <fonts count="30"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/>
      <vertAlign val="superscript"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8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1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9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0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sz val="11"/>
      <name val="Arial"/>
      <family val="2"/>
      <charset val="1"/>
    </font>
    <font>
      <b/>
      <sz val="12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8"/>
      <color theme="1"/>
      <name val="Aptos Narrow"/>
      <family val="2"/>
      <charset val="1"/>
    </font>
    <font>
      <b/>
      <sz val="11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5" tint="0.79989013336588644"/>
        <bgColor rgb="FFCCFFFF"/>
      </patternFill>
    </fill>
    <fill>
      <patternFill patternType="solid">
        <fgColor rgb="FFD4EA6B"/>
        <bgColor rgb="FFCCFFCC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00"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4" fillId="0" borderId="4" xfId="0" applyFont="1" applyBorder="1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7" fillId="0" borderId="0" xfId="0" applyFont="1"/>
    <xf numFmtId="0" fontId="8" fillId="0" borderId="4" xfId="0" applyFont="1" applyBorder="1"/>
    <xf numFmtId="0" fontId="8" fillId="0" borderId="0" xfId="0" applyFont="1"/>
    <xf numFmtId="0" fontId="8" fillId="0" borderId="5" xfId="0" applyFont="1" applyBorder="1"/>
    <xf numFmtId="0" fontId="9" fillId="0" borderId="0" xfId="0" applyFont="1"/>
    <xf numFmtId="15" fontId="0" fillId="0" borderId="4" xfId="0" applyNumberFormat="1" applyBorder="1"/>
    <xf numFmtId="16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12" fillId="2" borderId="0" xfId="0" applyFont="1" applyFill="1"/>
    <xf numFmtId="0" fontId="1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165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19" fillId="4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" fillId="2" borderId="10" xfId="2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/>
    </xf>
    <xf numFmtId="165" fontId="8" fillId="0" borderId="10" xfId="0" applyNumberFormat="1" applyFont="1" applyBorder="1" applyAlignment="1">
      <alignment horizontal="center" wrapText="1"/>
    </xf>
    <xf numFmtId="165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8" fillId="0" borderId="10" xfId="0" applyFont="1" applyBorder="1"/>
    <xf numFmtId="0" fontId="0" fillId="0" borderId="10" xfId="0" applyBorder="1" applyAlignment="1">
      <alignment horizontal="center"/>
    </xf>
    <xf numFmtId="0" fontId="23" fillId="0" borderId="0" xfId="0" applyFont="1" applyAlignment="1">
      <alignment horizontal="center" vertical="center"/>
    </xf>
    <xf numFmtId="165" fontId="18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4" fillId="2" borderId="10" xfId="2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25" fillId="2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26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0" fillId="0" borderId="0" xfId="0" applyNumberFormat="1"/>
    <xf numFmtId="0" fontId="27" fillId="0" borderId="10" xfId="0" applyFont="1" applyBorder="1" applyAlignment="1">
      <alignment horizontal="center"/>
    </xf>
    <xf numFmtId="165" fontId="18" fillId="0" borderId="10" xfId="0" applyNumberFormat="1" applyFont="1" applyBorder="1" applyAlignment="1">
      <alignment horizontal="center" vertical="center"/>
    </xf>
    <xf numFmtId="0" fontId="0" fillId="0" borderId="10" xfId="0" applyBorder="1"/>
    <xf numFmtId="2" fontId="4" fillId="0" borderId="10" xfId="0" applyNumberFormat="1" applyFont="1" applyBorder="1" applyAlignment="1">
      <alignment horizontal="center" vertical="center"/>
    </xf>
    <xf numFmtId="165" fontId="28" fillId="0" borderId="10" xfId="0" applyNumberFormat="1" applyFont="1" applyBorder="1" applyAlignment="1">
      <alignment horizontal="center" vertical="center"/>
    </xf>
    <xf numFmtId="2" fontId="28" fillId="0" borderId="10" xfId="0" applyNumberFormat="1" applyFont="1" applyBorder="1" applyAlignment="1">
      <alignment horizontal="center" vertical="center"/>
    </xf>
    <xf numFmtId="165" fontId="29" fillId="0" borderId="10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2" fontId="28" fillId="0" borderId="10" xfId="0" applyNumberFormat="1" applyFont="1" applyBorder="1" applyAlignment="1">
      <alignment horizontal="center"/>
    </xf>
    <xf numFmtId="165" fontId="28" fillId="0" borderId="10" xfId="0" applyNumberFormat="1" applyFont="1" applyBorder="1" applyAlignment="1">
      <alignment horizontal="center"/>
    </xf>
    <xf numFmtId="167" fontId="28" fillId="0" borderId="10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 wrapText="1"/>
    </xf>
    <xf numFmtId="0" fontId="17" fillId="3" borderId="10" xfId="0" applyFont="1" applyFill="1" applyBorder="1" applyAlignment="1">
      <alignment horizontal="center" wrapText="1"/>
    </xf>
    <xf numFmtId="165" fontId="17" fillId="3" borderId="10" xfId="0" applyNumberFormat="1" applyFont="1" applyFill="1" applyBorder="1" applyAlignment="1">
      <alignment horizontal="center" wrapText="1"/>
    </xf>
    <xf numFmtId="165" fontId="17" fillId="3" borderId="10" xfId="0" applyNumberFormat="1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4" xfId="0" applyBorder="1" applyAlignment="1"/>
    <xf numFmtId="0" fontId="0" fillId="0" borderId="0" xfId="0" applyAlignment="1"/>
    <xf numFmtId="0" fontId="8" fillId="0" borderId="4" xfId="0" applyFont="1" applyBorder="1" applyAlignment="1"/>
    <xf numFmtId="0" fontId="3" fillId="0" borderId="4" xfId="0" applyFont="1" applyBorder="1" applyAlignment="1"/>
    <xf numFmtId="0" fontId="11" fillId="0" borderId="0" xfId="0" applyFont="1" applyAlignment="1"/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542880</xdr:colOff>
      <xdr:row>0</xdr:row>
      <xdr:rowOff>47520</xdr:rowOff>
    </xdr:from>
    <xdr:to>
      <xdr:col>8</xdr:col>
      <xdr:colOff>152640</xdr:colOff>
      <xdr:row>2</xdr:row>
      <xdr:rowOff>71640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8120" y="47520"/>
          <a:ext cx="4095360" cy="348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276480</xdr:colOff>
      <xdr:row>29</xdr:row>
      <xdr:rowOff>114120</xdr:rowOff>
    </xdr:from>
    <xdr:to>
      <xdr:col>8</xdr:col>
      <xdr:colOff>56880</xdr:colOff>
      <xdr:row>45</xdr:row>
      <xdr:rowOff>36720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5243" t="23182" r="3580" b="23253"/>
        <a:stretch/>
      </xdr:blipFill>
      <xdr:spPr>
        <a:xfrm>
          <a:off x="1506960" y="4986360"/>
          <a:ext cx="3650760" cy="277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21</xdr:col>
      <xdr:colOff>37440</xdr:colOff>
      <xdr:row>5</xdr:row>
      <xdr:rowOff>89280</xdr:rowOff>
    </xdr:from>
    <xdr:to>
      <xdr:col>32</xdr:col>
      <xdr:colOff>388080</xdr:colOff>
      <xdr:row>40</xdr:row>
      <xdr:rowOff>39600</xdr:rowOff>
    </xdr:to>
    <xdr:sp macro="" textlink="">
      <xdr:nvSpPr>
        <xdr:cNvPr id="4" name="Text Fram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352840" y="898920"/>
          <a:ext cx="7119000" cy="602280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Aqua Regia Digestion Calculations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Digest filter in a mixture of 3 parts Hydrochloric acid with 1 part Nitric Acid. Record volume of acid used.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solution to remove any remaining sediment or fines.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Transfer 15 ml of solution to HDPE bottle for submission to University for ICP-MS analysis.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Calculations: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Convert ICP-MS value reported from ppb to ppm by dividing value by 1000.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Adjust for the volume of acid used. For example, id 40 ml was used, 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CONC in samole = ICP-MS value/1000  x  0.040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Correct for mass of sediment extracted. For this dataset, 10 kg of sediment was eluted.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ADJ = 1000 kg/mass of sample, or 1000/10 → 100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Final Dilution factor →  ADJ * CONC.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440531</xdr:colOff>
      <xdr:row>27</xdr:row>
      <xdr:rowOff>130969</xdr:rowOff>
    </xdr:from>
    <xdr:to>
      <xdr:col>3</xdr:col>
      <xdr:colOff>2135938</xdr:colOff>
      <xdr:row>63</xdr:row>
      <xdr:rowOff>107157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C750F-C828-4D1E-ACD0-285177033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531" y="6048375"/>
          <a:ext cx="6076907" cy="6691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zoomScale="80" zoomScaleNormal="80" workbookViewId="0">
      <selection activeCell="E15" sqref="E15"/>
    </sheetView>
  </sheetViews>
  <sheetFormatPr defaultColWidth="8.7109375" defaultRowHeight="12.75" customHeight="1"/>
  <cols>
    <col min="6" max="6" width="11.28515625" customWidth="1"/>
    <col min="10" max="10" width="13.7109375" customWidth="1"/>
    <col min="15" max="15" width="16.140625" customWidth="1"/>
    <col min="20" max="20" width="13.7109375" customWidth="1"/>
  </cols>
  <sheetData>
    <row r="1" spans="1:28" ht="14.25">
      <c r="A1" s="2"/>
      <c r="B1" s="3"/>
      <c r="C1" s="3"/>
      <c r="D1" s="3"/>
      <c r="E1" s="3"/>
      <c r="F1" s="3"/>
      <c r="G1" s="3"/>
      <c r="H1" s="3"/>
      <c r="I1" s="3"/>
      <c r="J1" s="4"/>
      <c r="K1" s="5" t="s">
        <v>0</v>
      </c>
      <c r="L1" s="3"/>
      <c r="M1" s="3"/>
      <c r="N1" s="3"/>
      <c r="O1" s="3"/>
      <c r="P1" s="3"/>
      <c r="Q1" s="3"/>
      <c r="R1" s="3"/>
      <c r="S1" s="3"/>
      <c r="T1" s="4"/>
      <c r="U1" s="1"/>
      <c r="V1" s="94" t="s">
        <v>1</v>
      </c>
      <c r="W1" s="94"/>
      <c r="X1" s="94"/>
      <c r="Y1" s="94"/>
      <c r="Z1" s="94"/>
      <c r="AA1" s="94"/>
      <c r="AB1" s="94"/>
    </row>
    <row r="2" spans="1:28">
      <c r="A2" s="7"/>
      <c r="B2" s="1"/>
      <c r="C2" s="1"/>
      <c r="D2" s="1"/>
      <c r="E2" s="1"/>
      <c r="F2" s="1"/>
      <c r="G2" s="1"/>
      <c r="H2" s="1"/>
      <c r="I2" s="1"/>
      <c r="J2" s="8"/>
      <c r="K2" s="7"/>
      <c r="L2" s="1"/>
      <c r="M2" s="1"/>
      <c r="N2" s="1"/>
      <c r="O2" s="1"/>
      <c r="P2" s="1"/>
      <c r="Q2" s="1"/>
      <c r="R2" s="1"/>
      <c r="S2" s="1"/>
      <c r="T2" s="8"/>
      <c r="U2" s="1"/>
      <c r="V2" s="1"/>
      <c r="W2" s="1"/>
      <c r="X2" s="1"/>
      <c r="Y2" s="1"/>
      <c r="Z2" s="1"/>
      <c r="AA2" s="1"/>
      <c r="AB2" s="1"/>
    </row>
    <row r="3" spans="1:28">
      <c r="A3" s="7"/>
      <c r="B3" s="1"/>
      <c r="C3" s="1"/>
      <c r="D3" s="1"/>
      <c r="E3" s="1"/>
      <c r="F3" s="1"/>
      <c r="G3" s="1"/>
      <c r="H3" s="1"/>
      <c r="I3" s="1"/>
      <c r="J3" s="8"/>
      <c r="K3" s="9" t="s">
        <v>2</v>
      </c>
      <c r="L3" s="1"/>
      <c r="M3" s="1"/>
      <c r="N3" s="1"/>
      <c r="O3" s="1"/>
      <c r="P3" s="1"/>
      <c r="Q3" s="1"/>
      <c r="R3" s="1"/>
      <c r="S3" s="1"/>
      <c r="T3" s="8"/>
      <c r="U3" s="1"/>
      <c r="V3" s="1"/>
      <c r="W3" s="1"/>
      <c r="X3" s="1"/>
      <c r="Y3" s="1"/>
      <c r="Z3" s="1"/>
      <c r="AA3" s="1"/>
      <c r="AB3" s="1"/>
    </row>
    <row r="4" spans="1:28">
      <c r="A4" s="82" t="s">
        <v>3</v>
      </c>
      <c r="B4" s="82"/>
      <c r="C4" s="82"/>
      <c r="D4" s="82"/>
      <c r="E4" s="82"/>
      <c r="F4" s="82"/>
      <c r="G4" s="82"/>
      <c r="H4" s="82"/>
      <c r="I4" s="82"/>
      <c r="J4" s="82"/>
      <c r="K4" s="7"/>
      <c r="L4" s="1"/>
      <c r="M4" s="1"/>
      <c r="N4" s="1"/>
      <c r="O4" s="1"/>
      <c r="P4" s="1"/>
      <c r="Q4" s="1"/>
      <c r="R4" s="1"/>
      <c r="S4" s="1"/>
      <c r="T4" s="8"/>
      <c r="U4" s="1"/>
      <c r="V4" s="1"/>
      <c r="W4" s="1"/>
      <c r="X4" s="1"/>
      <c r="Y4" s="1"/>
      <c r="Z4" s="1"/>
      <c r="AA4" s="1"/>
      <c r="AB4" s="1"/>
    </row>
    <row r="5" spans="1:28">
      <c r="A5" s="82" t="s">
        <v>4</v>
      </c>
      <c r="B5" s="82"/>
      <c r="C5" s="82"/>
      <c r="D5" s="82"/>
      <c r="E5" s="82"/>
      <c r="F5" s="82"/>
      <c r="G5" s="82"/>
      <c r="H5" s="82"/>
      <c r="I5" s="82"/>
      <c r="J5" s="82"/>
      <c r="K5" s="95" t="s">
        <v>5</v>
      </c>
      <c r="L5" s="95"/>
      <c r="M5" s="95"/>
      <c r="N5" s="95"/>
      <c r="O5" s="95"/>
      <c r="P5" s="95"/>
      <c r="Q5" s="95"/>
      <c r="R5" s="95"/>
      <c r="S5" s="95"/>
      <c r="T5" s="95"/>
      <c r="U5" s="1"/>
      <c r="V5" s="1"/>
      <c r="W5" s="1"/>
      <c r="X5" s="1"/>
      <c r="Y5" s="1"/>
      <c r="Z5" s="1"/>
      <c r="AA5" s="1"/>
      <c r="AB5" s="1"/>
    </row>
    <row r="6" spans="1:28">
      <c r="A6" s="7"/>
      <c r="B6" s="1"/>
      <c r="C6" s="1"/>
      <c r="D6" s="1"/>
      <c r="E6" s="1"/>
      <c r="F6" s="1"/>
      <c r="G6" s="1"/>
      <c r="H6" s="1"/>
      <c r="I6" s="1"/>
      <c r="J6" s="8"/>
      <c r="K6" s="95" t="s">
        <v>6</v>
      </c>
      <c r="L6" s="95"/>
      <c r="M6" s="95"/>
      <c r="N6" s="95"/>
      <c r="O6" s="95"/>
      <c r="P6" s="95"/>
      <c r="Q6" s="95"/>
      <c r="R6" s="95"/>
      <c r="S6" s="95"/>
      <c r="T6" s="95"/>
      <c r="U6" s="1"/>
      <c r="V6" s="1"/>
      <c r="W6" s="1"/>
      <c r="X6" s="1"/>
      <c r="Y6" s="1"/>
      <c r="Z6" s="1"/>
      <c r="AA6" s="1"/>
      <c r="AB6" s="1"/>
    </row>
    <row r="7" spans="1:28" ht="23.25">
      <c r="A7" s="81" t="s">
        <v>7</v>
      </c>
      <c r="B7" s="81"/>
      <c r="C7" s="81"/>
      <c r="D7" s="81"/>
      <c r="E7" s="81"/>
      <c r="F7" s="81"/>
      <c r="G7" s="81"/>
      <c r="H7" s="81"/>
      <c r="I7" s="81"/>
      <c r="J7" s="81"/>
      <c r="K7" s="95" t="s">
        <v>8</v>
      </c>
      <c r="L7" s="95"/>
      <c r="M7" s="95"/>
      <c r="N7" s="95"/>
      <c r="O7" s="95"/>
      <c r="P7" s="95"/>
      <c r="Q7" s="95"/>
      <c r="R7" s="95"/>
      <c r="S7" s="95"/>
      <c r="T7" s="95"/>
      <c r="U7" s="1"/>
      <c r="V7" s="1"/>
      <c r="W7" s="1"/>
      <c r="X7" s="1"/>
      <c r="Y7" s="1"/>
      <c r="Z7" s="1"/>
      <c r="AA7" s="1"/>
      <c r="AB7" s="1"/>
    </row>
    <row r="8" spans="1:28" ht="18">
      <c r="A8" s="7"/>
      <c r="B8" s="1"/>
      <c r="C8" s="1"/>
      <c r="D8" s="1"/>
      <c r="E8" s="10"/>
      <c r="F8" s="1"/>
      <c r="G8" s="1"/>
      <c r="H8" s="1"/>
      <c r="I8" s="1"/>
      <c r="J8" s="8"/>
      <c r="K8" s="95" t="s">
        <v>9</v>
      </c>
      <c r="L8" s="95"/>
      <c r="M8" s="95"/>
      <c r="N8" s="95"/>
      <c r="O8" s="95"/>
      <c r="P8" s="95"/>
      <c r="Q8" s="95"/>
      <c r="R8" s="95"/>
      <c r="S8" s="95"/>
      <c r="T8" s="95"/>
      <c r="U8" s="1"/>
      <c r="V8" s="1"/>
      <c r="W8" s="1"/>
      <c r="X8" s="1"/>
      <c r="Y8" s="1"/>
      <c r="Z8" s="1"/>
      <c r="AA8" s="1"/>
      <c r="AB8" s="1"/>
    </row>
    <row r="9" spans="1:28">
      <c r="A9" s="7"/>
      <c r="B9" s="1"/>
      <c r="C9" s="1"/>
      <c r="D9" s="1"/>
      <c r="E9" s="1"/>
      <c r="F9" s="1"/>
      <c r="G9" s="1"/>
      <c r="H9" s="1"/>
      <c r="I9" s="1"/>
      <c r="J9" s="8"/>
      <c r="K9" s="95" t="s">
        <v>10</v>
      </c>
      <c r="L9" s="95"/>
      <c r="M9" s="95"/>
      <c r="N9" s="95"/>
      <c r="O9" s="95"/>
      <c r="P9" s="95"/>
      <c r="Q9" s="95"/>
      <c r="R9" s="95"/>
      <c r="S9" s="95"/>
      <c r="T9" s="95"/>
      <c r="U9" s="1"/>
      <c r="V9" s="1"/>
      <c r="W9" s="1"/>
      <c r="X9" s="1"/>
      <c r="Y9" s="1"/>
      <c r="Z9" s="1"/>
      <c r="AA9" s="1"/>
      <c r="AB9" s="1"/>
    </row>
    <row r="10" spans="1:28">
      <c r="A10" s="95" t="s">
        <v>11</v>
      </c>
      <c r="B10" s="95"/>
      <c r="C10" s="95"/>
      <c r="D10" s="95"/>
      <c r="E10" s="95"/>
      <c r="F10" s="95"/>
      <c r="G10" s="6" t="s">
        <v>12</v>
      </c>
      <c r="H10" s="11">
        <v>45923</v>
      </c>
      <c r="I10" s="1"/>
      <c r="J10" s="12"/>
      <c r="K10" s="95" t="s">
        <v>13</v>
      </c>
      <c r="L10" s="95"/>
      <c r="M10" s="95"/>
      <c r="N10" s="95"/>
      <c r="O10" s="95"/>
      <c r="P10" s="95"/>
      <c r="Q10" s="95"/>
      <c r="R10" s="95"/>
      <c r="S10" s="95"/>
      <c r="T10" s="95"/>
      <c r="U10" s="1"/>
      <c r="V10" s="1"/>
      <c r="W10" s="1"/>
      <c r="X10" s="1"/>
      <c r="Y10" s="1"/>
      <c r="Z10" s="1"/>
      <c r="AA10" s="1"/>
      <c r="AB10" s="1"/>
    </row>
    <row r="11" spans="1:28">
      <c r="A11" s="95" t="s">
        <v>14</v>
      </c>
      <c r="B11" s="95"/>
      <c r="C11" s="95"/>
      <c r="D11" s="95"/>
      <c r="E11" s="95"/>
      <c r="F11" s="95"/>
      <c r="G11" s="6" t="s">
        <v>15</v>
      </c>
      <c r="H11" s="13" t="s">
        <v>16</v>
      </c>
      <c r="I11" s="1"/>
      <c r="J11" s="14"/>
      <c r="K11" s="95" t="s">
        <v>17</v>
      </c>
      <c r="L11" s="95"/>
      <c r="M11" s="95"/>
      <c r="N11" s="95"/>
      <c r="O11" s="95"/>
      <c r="P11" s="95"/>
      <c r="Q11" s="95"/>
      <c r="R11" s="95"/>
      <c r="S11" s="95"/>
      <c r="T11" s="95"/>
      <c r="U11" s="1"/>
      <c r="V11" s="1"/>
      <c r="W11" s="1"/>
      <c r="X11" s="1"/>
      <c r="Y11" s="1"/>
      <c r="Z11" s="1"/>
      <c r="AA11" s="1"/>
      <c r="AB11" s="1"/>
    </row>
    <row r="12" spans="1:28">
      <c r="A12" s="95" t="s">
        <v>18</v>
      </c>
      <c r="B12" s="95"/>
      <c r="C12" s="95"/>
      <c r="D12" s="95"/>
      <c r="E12" s="95"/>
      <c r="F12" s="95"/>
      <c r="G12" s="6" t="s">
        <v>19</v>
      </c>
      <c r="H12" s="1"/>
      <c r="I12" s="1" t="s">
        <v>20</v>
      </c>
      <c r="J12" s="14"/>
      <c r="K12" s="95" t="s">
        <v>21</v>
      </c>
      <c r="L12" s="95"/>
      <c r="M12" s="95"/>
      <c r="N12" s="95"/>
      <c r="O12" s="95"/>
      <c r="P12" s="95"/>
      <c r="Q12" s="95"/>
      <c r="R12" s="95"/>
      <c r="S12" s="95"/>
      <c r="T12" s="95"/>
      <c r="U12" s="1"/>
      <c r="V12" s="1"/>
      <c r="W12" s="1"/>
      <c r="X12" s="1"/>
      <c r="Y12" s="1"/>
      <c r="Z12" s="1"/>
      <c r="AA12" s="1"/>
      <c r="AB12" s="1"/>
    </row>
    <row r="13" spans="1:28">
      <c r="A13" s="95" t="s">
        <v>22</v>
      </c>
      <c r="B13" s="95"/>
      <c r="C13" s="95"/>
      <c r="D13" s="95"/>
      <c r="E13" s="95"/>
      <c r="F13" s="95"/>
      <c r="G13" s="1"/>
      <c r="H13" s="1"/>
      <c r="I13" s="1"/>
      <c r="J13" s="8"/>
      <c r="K13" s="95" t="s">
        <v>23</v>
      </c>
      <c r="L13" s="95"/>
      <c r="M13" s="95"/>
      <c r="N13" s="95"/>
      <c r="O13" s="95"/>
      <c r="P13" s="95"/>
      <c r="Q13" s="95"/>
      <c r="R13" s="95"/>
      <c r="S13" s="95"/>
      <c r="T13" s="95"/>
      <c r="U13" s="1"/>
      <c r="V13" s="1"/>
      <c r="W13" s="1"/>
      <c r="X13" s="1"/>
      <c r="Y13" s="1"/>
      <c r="Z13" s="1"/>
      <c r="AA13" s="1"/>
      <c r="AB13" s="1"/>
    </row>
    <row r="14" spans="1:28">
      <c r="A14" s="7"/>
      <c r="B14" s="1"/>
      <c r="C14" s="1"/>
      <c r="D14" s="1"/>
      <c r="E14" s="1"/>
      <c r="F14" s="1"/>
      <c r="G14" s="1"/>
      <c r="H14" s="1"/>
      <c r="I14" s="1"/>
      <c r="J14" s="8"/>
      <c r="K14" s="95" t="s">
        <v>24</v>
      </c>
      <c r="L14" s="95"/>
      <c r="M14" s="95"/>
      <c r="N14" s="95"/>
      <c r="O14" s="95"/>
      <c r="P14" s="95"/>
      <c r="Q14" s="95"/>
      <c r="R14" s="95"/>
      <c r="S14" s="95"/>
      <c r="T14" s="95"/>
      <c r="U14" s="1"/>
      <c r="V14" s="1"/>
      <c r="W14" s="1"/>
      <c r="X14" s="1"/>
      <c r="Y14" s="1"/>
      <c r="Z14" s="1"/>
      <c r="AA14" s="1"/>
      <c r="AB14" s="1"/>
    </row>
    <row r="15" spans="1:28">
      <c r="A15" s="95" t="s">
        <v>25</v>
      </c>
      <c r="B15" s="95"/>
      <c r="C15" s="1"/>
      <c r="D15" s="1"/>
      <c r="E15" s="1"/>
      <c r="F15" s="1"/>
      <c r="G15" s="1"/>
      <c r="H15" s="1"/>
      <c r="I15" s="1"/>
      <c r="J15" s="8"/>
      <c r="K15" s="95" t="s">
        <v>26</v>
      </c>
      <c r="L15" s="95"/>
      <c r="M15" s="95"/>
      <c r="N15" s="95"/>
      <c r="O15" s="95"/>
      <c r="P15" s="95"/>
      <c r="Q15" s="95"/>
      <c r="R15" s="95"/>
      <c r="S15" s="95"/>
      <c r="T15" s="95"/>
      <c r="U15" s="1"/>
      <c r="V15" s="1"/>
      <c r="W15" s="1"/>
      <c r="X15" s="1"/>
      <c r="Y15" s="1"/>
      <c r="Z15" s="1"/>
      <c r="AA15" s="1"/>
      <c r="AB15" s="1"/>
    </row>
    <row r="16" spans="1:28">
      <c r="A16" s="7"/>
      <c r="B16" s="1"/>
      <c r="C16" s="1"/>
      <c r="D16" s="1"/>
      <c r="E16" s="1"/>
      <c r="F16" s="1"/>
      <c r="G16" s="1"/>
      <c r="H16" s="1"/>
      <c r="I16" s="1"/>
      <c r="J16" s="8"/>
      <c r="K16" s="95" t="s">
        <v>27</v>
      </c>
      <c r="L16" s="95"/>
      <c r="M16" s="95"/>
      <c r="N16" s="95"/>
      <c r="O16" s="95"/>
      <c r="P16" s="95"/>
      <c r="Q16" s="95"/>
      <c r="R16" s="95"/>
      <c r="S16" s="95"/>
      <c r="T16" s="95"/>
      <c r="U16" s="1"/>
      <c r="V16" s="1"/>
      <c r="W16" s="1"/>
      <c r="X16" s="1"/>
      <c r="Y16" s="1"/>
      <c r="Z16" s="1"/>
      <c r="AA16" s="1"/>
      <c r="AB16" s="1"/>
    </row>
    <row r="17" spans="1:20" ht="14.25">
      <c r="A17" s="9" t="s">
        <v>28</v>
      </c>
      <c r="B17" s="1"/>
      <c r="C17" s="1"/>
      <c r="D17" s="96" t="s">
        <v>29</v>
      </c>
      <c r="E17" s="96"/>
      <c r="F17" s="96"/>
      <c r="G17" s="1"/>
      <c r="H17" s="1"/>
      <c r="I17" s="1"/>
      <c r="J17" s="8"/>
      <c r="K17" s="95" t="s">
        <v>30</v>
      </c>
      <c r="L17" s="95"/>
      <c r="M17" s="95"/>
      <c r="N17" s="95"/>
      <c r="O17" s="95"/>
      <c r="P17" s="95"/>
      <c r="Q17" s="95"/>
      <c r="R17" s="95"/>
      <c r="S17" s="95"/>
      <c r="T17" s="95"/>
    </row>
    <row r="18" spans="1:20">
      <c r="A18" s="9"/>
      <c r="B18" s="1"/>
      <c r="C18" s="1"/>
      <c r="D18" s="96" t="s">
        <v>31</v>
      </c>
      <c r="E18" s="96"/>
      <c r="F18" s="96"/>
      <c r="G18" s="1"/>
      <c r="H18" s="1"/>
      <c r="I18" s="1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1"/>
      <c r="C19" s="1"/>
      <c r="D19" s="1" t="s">
        <v>32</v>
      </c>
      <c r="E19" s="1"/>
      <c r="F19" s="1"/>
      <c r="G19" s="1"/>
      <c r="H19" s="1"/>
      <c r="I19" s="1"/>
      <c r="J19" s="8"/>
      <c r="K19" s="95" t="s">
        <v>33</v>
      </c>
      <c r="L19" s="95"/>
      <c r="M19" s="95"/>
      <c r="N19" s="95"/>
      <c r="O19" s="95"/>
      <c r="P19" s="95"/>
      <c r="Q19" s="95"/>
      <c r="R19" s="95"/>
      <c r="S19" s="95"/>
      <c r="T19" s="95"/>
    </row>
    <row r="20" spans="1:20">
      <c r="A20" s="7"/>
      <c r="B20" s="1"/>
      <c r="C20" s="1"/>
      <c r="D20" s="1" t="s">
        <v>34</v>
      </c>
      <c r="E20" s="1"/>
      <c r="F20" s="1"/>
      <c r="G20" s="15"/>
      <c r="H20" s="1"/>
      <c r="I20" s="1"/>
      <c r="J20" s="8"/>
      <c r="K20" s="95" t="s">
        <v>35</v>
      </c>
      <c r="L20" s="95"/>
      <c r="M20" s="95"/>
      <c r="N20" s="95"/>
      <c r="O20" s="95"/>
      <c r="P20" s="95"/>
      <c r="Q20" s="95"/>
      <c r="R20" s="95"/>
      <c r="S20" s="95"/>
      <c r="T20" s="95"/>
    </row>
    <row r="21" spans="1:20">
      <c r="A21" s="7"/>
      <c r="B21" s="1"/>
      <c r="C21" s="1"/>
      <c r="D21" s="1"/>
      <c r="E21" s="1"/>
      <c r="F21" s="1"/>
      <c r="G21" s="1"/>
      <c r="H21" s="1"/>
      <c r="I21" s="1"/>
      <c r="J21" s="8"/>
      <c r="K21" s="95" t="s">
        <v>36</v>
      </c>
      <c r="L21" s="95"/>
      <c r="M21" s="95"/>
      <c r="N21" s="95"/>
      <c r="O21" s="95"/>
      <c r="P21" s="95"/>
      <c r="Q21" s="95"/>
      <c r="R21" s="95"/>
      <c r="S21" s="95"/>
      <c r="T21" s="95"/>
    </row>
    <row r="22" spans="1:20">
      <c r="A22" s="7"/>
      <c r="B22" s="1"/>
      <c r="C22" s="1"/>
      <c r="D22" s="1"/>
      <c r="E22" s="1"/>
      <c r="F22" s="1"/>
      <c r="G22" s="1"/>
      <c r="H22" s="1"/>
      <c r="I22" s="1"/>
      <c r="J22" s="8"/>
      <c r="K22" s="95" t="s">
        <v>37</v>
      </c>
      <c r="L22" s="95"/>
      <c r="M22" s="95"/>
      <c r="N22" s="95"/>
      <c r="O22" s="95"/>
      <c r="P22" s="95"/>
      <c r="Q22" s="95"/>
      <c r="R22" s="95"/>
      <c r="S22" s="95"/>
      <c r="T22" s="95"/>
    </row>
    <row r="23" spans="1:20" ht="14.25">
      <c r="A23" s="9" t="s">
        <v>38</v>
      </c>
      <c r="B23" s="1"/>
      <c r="C23" s="1"/>
      <c r="D23" s="96" t="s">
        <v>39</v>
      </c>
      <c r="E23" s="96"/>
      <c r="F23" s="96"/>
      <c r="G23" s="96"/>
      <c r="H23" s="96"/>
      <c r="I23" s="96"/>
      <c r="J23" s="8"/>
      <c r="K23" s="16"/>
      <c r="L23" s="17"/>
      <c r="M23" s="17"/>
      <c r="N23" s="17"/>
      <c r="O23" s="17"/>
      <c r="P23" s="17"/>
      <c r="Q23" s="17"/>
      <c r="R23" s="17"/>
      <c r="S23" s="17"/>
      <c r="T23" s="18"/>
    </row>
    <row r="24" spans="1:20">
      <c r="A24" s="7"/>
      <c r="B24" s="1"/>
      <c r="C24" s="1"/>
      <c r="D24" s="96" t="s">
        <v>40</v>
      </c>
      <c r="E24" s="96"/>
      <c r="F24" s="96"/>
      <c r="G24" s="96"/>
      <c r="H24" s="96"/>
      <c r="I24" s="96"/>
      <c r="J24" s="8"/>
      <c r="K24" s="97" t="s">
        <v>41</v>
      </c>
      <c r="L24" s="97"/>
      <c r="M24" s="97"/>
      <c r="N24" s="97"/>
      <c r="O24" s="97"/>
      <c r="P24" s="97"/>
      <c r="Q24" s="97"/>
      <c r="R24" s="97"/>
      <c r="S24" s="97"/>
      <c r="T24" s="18"/>
    </row>
    <row r="25" spans="1:20">
      <c r="A25" s="7"/>
      <c r="B25" s="1"/>
      <c r="C25" s="1"/>
      <c r="D25" s="96" t="s">
        <v>42</v>
      </c>
      <c r="E25" s="96"/>
      <c r="F25" s="96"/>
      <c r="G25" s="96"/>
      <c r="H25" s="96"/>
      <c r="I25" s="96"/>
      <c r="J25" s="8"/>
      <c r="K25" s="97"/>
      <c r="L25" s="97"/>
      <c r="M25" s="97"/>
      <c r="N25" s="97"/>
      <c r="O25" s="97"/>
      <c r="P25" s="97"/>
      <c r="Q25" s="97"/>
      <c r="R25" s="97"/>
      <c r="S25" s="97"/>
      <c r="T25" s="18"/>
    </row>
    <row r="26" spans="1:20">
      <c r="A26" s="7"/>
      <c r="B26" s="1"/>
      <c r="C26" s="1"/>
      <c r="D26" s="96" t="s">
        <v>43</v>
      </c>
      <c r="E26" s="96"/>
      <c r="F26" s="96"/>
      <c r="G26" s="96"/>
      <c r="H26" s="96"/>
      <c r="I26" s="96"/>
      <c r="J26" s="8"/>
      <c r="K26" s="97" t="s">
        <v>44</v>
      </c>
      <c r="L26" s="97"/>
      <c r="M26" s="97"/>
      <c r="N26" s="97"/>
      <c r="O26" s="97"/>
      <c r="P26" s="97"/>
      <c r="Q26" s="97"/>
      <c r="R26" s="97"/>
      <c r="S26" s="97"/>
      <c r="T26" s="18"/>
    </row>
    <row r="27" spans="1:20">
      <c r="A27" s="7"/>
      <c r="B27" s="1"/>
      <c r="C27" s="1"/>
      <c r="D27" s="96" t="s">
        <v>45</v>
      </c>
      <c r="E27" s="96"/>
      <c r="F27" s="96"/>
      <c r="G27" s="96"/>
      <c r="H27" s="96"/>
      <c r="I27" s="96"/>
      <c r="J27" s="8"/>
      <c r="K27" s="97" t="s">
        <v>46</v>
      </c>
      <c r="L27" s="97"/>
      <c r="M27" s="97"/>
      <c r="N27" s="97"/>
      <c r="O27" s="97"/>
      <c r="P27" s="97"/>
      <c r="Q27" s="97"/>
      <c r="R27" s="97"/>
      <c r="S27" s="97"/>
      <c r="T27" s="18"/>
    </row>
    <row r="28" spans="1:20">
      <c r="A28" s="7"/>
      <c r="B28" s="1"/>
      <c r="C28" s="1"/>
      <c r="D28" s="96" t="s">
        <v>47</v>
      </c>
      <c r="E28" s="96"/>
      <c r="F28" s="96"/>
      <c r="G28" s="96"/>
      <c r="H28" s="96"/>
      <c r="I28" s="96"/>
      <c r="J28" s="8"/>
      <c r="K28" s="97" t="s">
        <v>48</v>
      </c>
      <c r="L28" s="97"/>
      <c r="M28" s="97"/>
      <c r="N28" s="97"/>
      <c r="O28" s="97"/>
      <c r="P28" s="97"/>
      <c r="Q28" s="97"/>
      <c r="R28" s="97"/>
      <c r="S28" s="97"/>
      <c r="T28" s="18"/>
    </row>
    <row r="29" spans="1:20">
      <c r="A29" s="7"/>
      <c r="B29" s="1"/>
      <c r="C29" s="1"/>
      <c r="D29" s="96" t="s">
        <v>49</v>
      </c>
      <c r="E29" s="96"/>
      <c r="F29" s="96"/>
      <c r="G29" s="96"/>
      <c r="H29" s="96"/>
      <c r="I29" s="96"/>
      <c r="J29" s="8"/>
      <c r="K29" s="97" t="s">
        <v>50</v>
      </c>
      <c r="L29" s="97"/>
      <c r="M29" s="97"/>
      <c r="N29" s="97"/>
      <c r="O29" s="97"/>
      <c r="P29" s="97"/>
      <c r="Q29" s="97"/>
      <c r="R29" s="97"/>
      <c r="S29" s="97"/>
      <c r="T29" s="8"/>
    </row>
    <row r="30" spans="1:20">
      <c r="A30" s="7"/>
      <c r="B30" s="1"/>
      <c r="C30" s="1"/>
      <c r="D30" s="1"/>
      <c r="E30" s="1"/>
      <c r="F30" s="1"/>
      <c r="G30" s="1"/>
      <c r="H30" s="1"/>
      <c r="I30" s="1"/>
      <c r="J30" s="8"/>
      <c r="K30" s="7"/>
      <c r="L30" s="1"/>
      <c r="M30" s="1"/>
      <c r="N30" s="1"/>
      <c r="O30" s="1"/>
      <c r="P30" s="1"/>
      <c r="Q30" s="1"/>
      <c r="R30" s="1"/>
      <c r="S30" s="1"/>
      <c r="T30" s="8"/>
    </row>
    <row r="31" spans="1:20" ht="14.25">
      <c r="A31" s="7"/>
      <c r="B31" s="1"/>
      <c r="C31" s="1"/>
      <c r="D31" s="1"/>
      <c r="E31" s="1"/>
      <c r="F31" s="1"/>
      <c r="G31" s="1"/>
      <c r="H31" s="1"/>
      <c r="I31" s="1"/>
      <c r="J31" s="8"/>
      <c r="K31" s="98" t="s">
        <v>51</v>
      </c>
      <c r="L31" s="98"/>
      <c r="M31" s="98"/>
      <c r="N31" s="98"/>
      <c r="O31" s="98"/>
      <c r="P31" s="98"/>
      <c r="Q31" s="98"/>
      <c r="R31" s="98"/>
      <c r="S31" s="98"/>
      <c r="T31" s="98"/>
    </row>
    <row r="32" spans="1:20">
      <c r="A32" s="7"/>
      <c r="B32" s="1"/>
      <c r="C32" s="1"/>
      <c r="D32" s="1"/>
      <c r="E32" s="1"/>
      <c r="F32" s="1"/>
      <c r="G32" s="1"/>
      <c r="H32" s="1"/>
      <c r="I32" s="8"/>
      <c r="J32" s="8"/>
      <c r="K32" s="7"/>
      <c r="L32" s="1"/>
      <c r="M32" s="1"/>
      <c r="N32" s="1"/>
      <c r="O32" s="1"/>
      <c r="P32" s="1"/>
      <c r="Q32" s="1"/>
      <c r="R32" s="1"/>
      <c r="S32" s="1"/>
      <c r="T32" s="8"/>
    </row>
    <row r="33" spans="1:20" ht="15">
      <c r="A33" s="7"/>
      <c r="B33" s="1"/>
      <c r="C33" s="1"/>
      <c r="D33" s="19"/>
      <c r="E33" s="1"/>
      <c r="F33" s="1"/>
      <c r="G33" s="1"/>
      <c r="H33" s="1"/>
      <c r="I33" s="8"/>
      <c r="J33" s="8"/>
      <c r="K33" s="95" t="s">
        <v>52</v>
      </c>
      <c r="L33" s="95"/>
      <c r="M33" s="96" t="s">
        <v>53</v>
      </c>
      <c r="N33" s="96"/>
      <c r="O33" s="96"/>
      <c r="P33" s="96"/>
      <c r="Q33" s="96"/>
      <c r="R33" s="96"/>
      <c r="S33" s="96"/>
      <c r="T33" s="8"/>
    </row>
    <row r="34" spans="1:20" ht="15">
      <c r="A34" s="7"/>
      <c r="B34" s="1"/>
      <c r="C34" s="1"/>
      <c r="D34" s="19"/>
      <c r="E34" s="1"/>
      <c r="F34" s="1"/>
      <c r="G34" s="1"/>
      <c r="H34" s="1"/>
      <c r="I34" s="8"/>
      <c r="J34" s="8"/>
      <c r="K34" s="1"/>
      <c r="L34" s="1"/>
      <c r="M34" s="96" t="s">
        <v>54</v>
      </c>
      <c r="N34" s="96"/>
      <c r="O34" s="96"/>
      <c r="P34" s="96"/>
      <c r="Q34" s="96"/>
      <c r="R34" s="96"/>
      <c r="S34" s="96"/>
      <c r="T34" s="8"/>
    </row>
    <row r="35" spans="1:20" ht="15">
      <c r="A35" s="7"/>
      <c r="B35" s="1"/>
      <c r="C35" s="1"/>
      <c r="D35" s="19"/>
      <c r="E35" s="1"/>
      <c r="F35" s="1"/>
      <c r="G35" s="1"/>
      <c r="H35" s="1"/>
      <c r="I35" s="8"/>
      <c r="J35" s="8"/>
      <c r="K35" s="1"/>
      <c r="L35" s="1"/>
      <c r="M35" s="96" t="s">
        <v>55</v>
      </c>
      <c r="N35" s="96"/>
      <c r="O35" s="96"/>
      <c r="P35" s="96"/>
      <c r="Q35" s="96"/>
      <c r="R35" s="96"/>
      <c r="S35" s="96"/>
      <c r="T35" s="8"/>
    </row>
    <row r="36" spans="1:20" ht="15">
      <c r="A36" s="7"/>
      <c r="B36" s="1"/>
      <c r="C36" s="1"/>
      <c r="D36" s="19"/>
      <c r="E36" s="1"/>
      <c r="F36" s="1"/>
      <c r="G36" s="1"/>
      <c r="H36" s="1"/>
      <c r="I36" s="8"/>
      <c r="J36" s="8"/>
      <c r="K36" s="1"/>
      <c r="L36" s="1"/>
      <c r="M36" s="1"/>
      <c r="N36" s="1"/>
      <c r="O36" s="1"/>
      <c r="P36" s="1"/>
      <c r="Q36" s="1"/>
      <c r="R36" s="1"/>
      <c r="S36" s="1"/>
      <c r="T36" s="8"/>
    </row>
    <row r="37" spans="1:20" ht="15">
      <c r="A37" s="7"/>
      <c r="B37" s="1"/>
      <c r="C37" s="1"/>
      <c r="D37" s="1"/>
      <c r="E37" s="19"/>
      <c r="F37" s="1"/>
      <c r="G37" s="1"/>
      <c r="H37" s="1"/>
      <c r="I37" s="1"/>
      <c r="J37" s="8"/>
      <c r="K37" s="1"/>
      <c r="L37" s="1"/>
      <c r="M37" s="96" t="s">
        <v>56</v>
      </c>
      <c r="N37" s="96"/>
      <c r="O37" s="96"/>
      <c r="P37" s="96"/>
      <c r="Q37" s="96"/>
      <c r="R37" s="96"/>
      <c r="S37" s="96"/>
      <c r="T37" s="8"/>
    </row>
    <row r="38" spans="1:20" ht="15">
      <c r="A38" s="7"/>
      <c r="B38" s="1"/>
      <c r="C38" s="1"/>
      <c r="D38" s="1"/>
      <c r="E38" s="19"/>
      <c r="F38" s="1"/>
      <c r="G38" s="1"/>
      <c r="H38" s="1"/>
      <c r="I38" s="1"/>
      <c r="J38" s="8"/>
      <c r="K38" s="1"/>
      <c r="L38" s="1"/>
      <c r="M38" s="96" t="s">
        <v>57</v>
      </c>
      <c r="N38" s="96"/>
      <c r="O38" s="96"/>
      <c r="P38" s="96"/>
      <c r="Q38" s="96"/>
      <c r="R38" s="96"/>
      <c r="S38" s="96"/>
      <c r="T38" s="8"/>
    </row>
    <row r="39" spans="1:20" ht="15">
      <c r="A39" s="7"/>
      <c r="B39" s="1"/>
      <c r="C39" s="1"/>
      <c r="D39" s="1"/>
      <c r="E39" s="19"/>
      <c r="F39" s="1"/>
      <c r="G39" s="1"/>
      <c r="H39" s="1"/>
      <c r="I39" s="1"/>
      <c r="J39" s="8"/>
      <c r="K39" s="7"/>
      <c r="L39" s="1"/>
      <c r="M39" s="96" t="s">
        <v>58</v>
      </c>
      <c r="N39" s="96"/>
      <c r="O39" s="96"/>
      <c r="P39" s="96"/>
      <c r="Q39" s="1"/>
      <c r="R39" s="1"/>
      <c r="S39" s="1"/>
      <c r="T39" s="8"/>
    </row>
    <row r="40" spans="1:20" ht="15">
      <c r="A40" s="7"/>
      <c r="B40" s="1"/>
      <c r="C40" s="1"/>
      <c r="D40" s="1"/>
      <c r="E40" s="19"/>
      <c r="F40" s="1"/>
      <c r="G40" s="1"/>
      <c r="H40" s="1"/>
      <c r="I40" s="1"/>
      <c r="J40" s="8"/>
      <c r="K40" s="7"/>
      <c r="L40" s="1"/>
      <c r="M40" s="1"/>
      <c r="N40" s="1"/>
      <c r="O40" s="1"/>
      <c r="P40" s="1"/>
      <c r="Q40" s="1"/>
      <c r="R40" s="1"/>
      <c r="S40" s="1"/>
      <c r="T40" s="8"/>
    </row>
    <row r="41" spans="1:20" ht="15">
      <c r="A41" s="7"/>
      <c r="B41" s="1"/>
      <c r="C41" s="1"/>
      <c r="D41" s="1"/>
      <c r="E41" s="19"/>
      <c r="F41" s="1"/>
      <c r="G41" s="1"/>
      <c r="H41" s="1"/>
      <c r="I41" s="1"/>
      <c r="J41" s="8"/>
      <c r="K41" s="7"/>
      <c r="L41" s="1"/>
      <c r="M41" s="1"/>
      <c r="N41" s="1"/>
      <c r="O41" s="1"/>
      <c r="P41" s="1"/>
      <c r="Q41" s="1"/>
      <c r="R41" s="1"/>
      <c r="S41" s="1"/>
      <c r="T41" s="8"/>
    </row>
    <row r="42" spans="1:20">
      <c r="A42" s="20"/>
      <c r="B42" s="1"/>
      <c r="C42" s="1"/>
      <c r="D42" s="1"/>
      <c r="E42" s="1"/>
      <c r="F42" s="1"/>
      <c r="G42" s="1"/>
      <c r="H42" s="1"/>
      <c r="I42" s="1"/>
      <c r="J42" s="8"/>
      <c r="K42" s="9" t="s">
        <v>59</v>
      </c>
      <c r="L42" s="1"/>
      <c r="M42" s="1"/>
      <c r="N42" s="1"/>
      <c r="O42" s="1"/>
      <c r="P42" s="1"/>
      <c r="Q42" s="1"/>
      <c r="R42" s="1"/>
      <c r="S42" s="1"/>
      <c r="T42" s="8"/>
    </row>
    <row r="43" spans="1:20">
      <c r="A43" s="7"/>
      <c r="B43" s="1"/>
      <c r="C43" s="1"/>
      <c r="D43" s="1"/>
      <c r="E43" s="1"/>
      <c r="F43" s="1"/>
      <c r="G43" s="1"/>
      <c r="H43" s="1"/>
      <c r="I43" s="1"/>
      <c r="J43" s="8"/>
      <c r="K43" s="97" t="s">
        <v>60</v>
      </c>
      <c r="L43" s="97"/>
      <c r="M43" s="97"/>
      <c r="N43" s="97"/>
      <c r="O43" s="21">
        <v>45910</v>
      </c>
      <c r="P43" s="1"/>
      <c r="Q43" s="1"/>
      <c r="R43" s="1"/>
      <c r="S43" s="1"/>
      <c r="T43" s="8"/>
    </row>
    <row r="44" spans="1:20">
      <c r="A44" s="7"/>
      <c r="B44" s="1"/>
      <c r="C44" s="1"/>
      <c r="D44" s="1"/>
      <c r="E44" s="1"/>
      <c r="F44" s="1"/>
      <c r="G44" s="1"/>
      <c r="H44" s="1"/>
      <c r="I44" s="1"/>
      <c r="J44" s="8"/>
      <c r="K44" s="97" t="s">
        <v>61</v>
      </c>
      <c r="L44" s="97"/>
      <c r="M44" s="97"/>
      <c r="N44" s="97"/>
      <c r="O44" s="21">
        <v>45910</v>
      </c>
      <c r="P44" s="1"/>
      <c r="Q44" s="1"/>
      <c r="R44" s="1"/>
      <c r="S44" s="1"/>
      <c r="T44" s="8"/>
    </row>
    <row r="45" spans="1:20">
      <c r="A45" s="7"/>
      <c r="B45" s="1"/>
      <c r="C45" s="1"/>
      <c r="D45" s="1"/>
      <c r="E45" s="1"/>
      <c r="F45" s="1"/>
      <c r="G45" s="1"/>
      <c r="H45" s="1"/>
      <c r="I45" s="1"/>
      <c r="J45" s="8"/>
      <c r="K45" s="97" t="s">
        <v>62</v>
      </c>
      <c r="L45" s="97"/>
      <c r="M45" s="97"/>
      <c r="N45" s="97"/>
      <c r="O45" s="21">
        <v>45910</v>
      </c>
      <c r="P45" s="1"/>
      <c r="Q45" s="1"/>
      <c r="R45" s="1"/>
      <c r="S45" s="1"/>
      <c r="T45" s="8"/>
    </row>
    <row r="46" spans="1:20">
      <c r="A46" s="7"/>
      <c r="B46" s="1"/>
      <c r="C46" s="1"/>
      <c r="D46" s="1"/>
      <c r="E46" s="1"/>
      <c r="F46" s="1"/>
      <c r="G46" s="1"/>
      <c r="H46" s="1"/>
      <c r="I46" s="1"/>
      <c r="J46" s="8"/>
      <c r="K46" s="97" t="s">
        <v>63</v>
      </c>
      <c r="L46" s="97"/>
      <c r="M46" s="97"/>
      <c r="N46" s="97"/>
      <c r="O46" s="21">
        <v>45922</v>
      </c>
      <c r="P46" s="1"/>
      <c r="Q46" s="1"/>
      <c r="R46" s="1"/>
      <c r="S46" s="1"/>
      <c r="T46" s="8"/>
    </row>
    <row r="47" spans="1:20">
      <c r="A47" s="7"/>
      <c r="B47" s="1"/>
      <c r="C47" s="1"/>
      <c r="D47" s="1"/>
      <c r="E47" s="1"/>
      <c r="F47" s="1"/>
      <c r="G47" s="1"/>
      <c r="H47" s="1"/>
      <c r="I47" s="1"/>
      <c r="J47" s="8"/>
      <c r="K47" s="95"/>
      <c r="L47" s="95"/>
      <c r="M47" s="95"/>
      <c r="N47" s="95"/>
      <c r="O47" s="95"/>
      <c r="P47" s="95"/>
      <c r="Q47" s="95"/>
      <c r="R47" s="1"/>
      <c r="S47" s="1"/>
      <c r="T47" s="8"/>
    </row>
    <row r="48" spans="1:20">
      <c r="A48" s="7"/>
      <c r="B48" s="1"/>
      <c r="C48" s="1"/>
      <c r="D48" s="1"/>
      <c r="E48" s="1"/>
      <c r="F48" s="1"/>
      <c r="G48" s="1"/>
      <c r="H48" s="1"/>
      <c r="I48" s="1"/>
      <c r="J48" s="8"/>
      <c r="K48" s="7"/>
      <c r="L48" s="1"/>
      <c r="M48" s="1"/>
      <c r="N48" s="1"/>
      <c r="O48" s="1"/>
      <c r="P48" s="1"/>
      <c r="Q48" s="1"/>
      <c r="R48" s="1"/>
      <c r="S48" s="1"/>
      <c r="T48" s="8"/>
    </row>
    <row r="49" spans="1:25">
      <c r="A49" s="7"/>
      <c r="B49" s="1"/>
      <c r="C49" s="1"/>
      <c r="D49" s="1"/>
      <c r="E49" s="1"/>
      <c r="F49" s="1"/>
      <c r="G49" s="1"/>
      <c r="H49" s="1"/>
      <c r="I49" s="1"/>
      <c r="J49" s="8"/>
      <c r="K49" s="7"/>
      <c r="L49" s="1"/>
      <c r="M49" s="1"/>
      <c r="N49" s="1"/>
      <c r="O49" s="1"/>
      <c r="P49" s="1"/>
      <c r="Q49" s="1"/>
      <c r="R49" s="1"/>
      <c r="S49" s="1"/>
      <c r="T49" s="8"/>
      <c r="U49" s="1"/>
      <c r="V49" s="1"/>
      <c r="W49" s="1"/>
      <c r="X49" s="1"/>
      <c r="Y49" s="1"/>
    </row>
    <row r="50" spans="1:25">
      <c r="A50" s="7"/>
      <c r="B50" s="1"/>
      <c r="C50" s="1"/>
      <c r="D50" s="1"/>
      <c r="E50" s="1"/>
      <c r="F50" s="1"/>
      <c r="G50" s="1"/>
      <c r="H50" s="1"/>
      <c r="I50" s="1"/>
      <c r="J50" s="8"/>
      <c r="K50" s="7"/>
      <c r="L50" s="1"/>
      <c r="M50" s="1"/>
      <c r="N50" s="1"/>
      <c r="O50" s="1"/>
      <c r="P50" s="1"/>
      <c r="Q50" s="1"/>
      <c r="R50" s="1"/>
      <c r="S50" s="1"/>
      <c r="T50" s="8"/>
      <c r="U50" s="1"/>
      <c r="V50" s="1"/>
      <c r="W50" s="1"/>
      <c r="X50" s="1"/>
      <c r="Y50" s="1" t="s">
        <v>64</v>
      </c>
    </row>
    <row r="51" spans="1:25">
      <c r="A51" s="7"/>
      <c r="B51" s="1"/>
      <c r="C51" s="1"/>
      <c r="D51" s="1"/>
      <c r="E51" s="1"/>
      <c r="F51" s="1"/>
      <c r="G51" s="1"/>
      <c r="H51" s="1"/>
      <c r="I51" s="1"/>
      <c r="J51" s="8"/>
      <c r="K51" s="7"/>
      <c r="L51" s="1"/>
      <c r="M51" s="1"/>
      <c r="N51" s="1"/>
      <c r="O51" s="1"/>
      <c r="P51" s="1"/>
      <c r="Q51" s="1"/>
      <c r="R51" s="1"/>
      <c r="S51" s="1"/>
      <c r="T51" s="8"/>
      <c r="U51" s="1"/>
      <c r="V51" s="1"/>
      <c r="W51" s="1"/>
      <c r="X51" s="1"/>
      <c r="Y51" s="1"/>
    </row>
    <row r="52" spans="1:25">
      <c r="A52" s="7"/>
      <c r="B52" s="1"/>
      <c r="C52" s="1"/>
      <c r="D52" s="1"/>
      <c r="E52" s="1"/>
      <c r="F52" s="1"/>
      <c r="G52" s="1"/>
      <c r="H52" s="1"/>
      <c r="I52" s="1"/>
      <c r="J52" s="8"/>
      <c r="K52" s="7"/>
      <c r="L52" s="1"/>
      <c r="M52" s="1"/>
      <c r="N52" s="1"/>
      <c r="O52" s="1"/>
      <c r="P52" s="1"/>
      <c r="Q52" s="1"/>
      <c r="R52" s="1"/>
      <c r="S52" s="1"/>
      <c r="T52" s="8"/>
      <c r="U52" s="1"/>
      <c r="V52" s="1"/>
      <c r="W52" s="1"/>
      <c r="X52" s="1"/>
      <c r="Y52" s="1"/>
    </row>
    <row r="53" spans="1:25">
      <c r="A53" s="7"/>
      <c r="B53" s="1"/>
      <c r="C53" s="1"/>
      <c r="D53" s="1"/>
      <c r="E53" s="1"/>
      <c r="F53" s="1"/>
      <c r="G53" s="1"/>
      <c r="H53" s="1"/>
      <c r="I53" s="1"/>
      <c r="J53" s="8"/>
      <c r="K53" s="7"/>
      <c r="L53" s="1"/>
      <c r="M53" s="1"/>
      <c r="N53" s="1"/>
      <c r="O53" s="1"/>
      <c r="P53" s="1"/>
      <c r="Q53" s="1"/>
      <c r="R53" s="1"/>
      <c r="S53" s="1"/>
      <c r="T53" s="8"/>
      <c r="U53" s="1"/>
      <c r="V53" s="1"/>
      <c r="W53" s="1"/>
      <c r="X53" s="1"/>
      <c r="Y53" s="1"/>
    </row>
    <row r="54" spans="1:25">
      <c r="A54" s="22"/>
      <c r="B54" s="23"/>
      <c r="C54" s="23"/>
      <c r="D54" s="23"/>
      <c r="E54" s="23"/>
      <c r="F54" s="23"/>
      <c r="G54" s="23"/>
      <c r="H54" s="23"/>
      <c r="I54" s="23"/>
      <c r="J54" s="24"/>
      <c r="K54" s="22"/>
      <c r="L54" s="23"/>
      <c r="M54" s="23"/>
      <c r="N54" s="23"/>
      <c r="O54" s="23"/>
      <c r="P54" s="23"/>
      <c r="Q54" s="23"/>
      <c r="R54" s="23"/>
      <c r="S54" s="23"/>
      <c r="T54" s="24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1:20">
      <c r="K81" s="17"/>
      <c r="L81" s="17"/>
      <c r="M81" s="17"/>
      <c r="N81" s="17"/>
      <c r="O81" s="17"/>
      <c r="P81" s="17"/>
      <c r="Q81" s="17"/>
      <c r="R81" s="17"/>
      <c r="S81" s="17"/>
      <c r="T81" s="17"/>
    </row>
  </sheetData>
  <mergeCells count="54">
    <mergeCell ref="V1:AB1"/>
    <mergeCell ref="A4:J4"/>
    <mergeCell ref="A5:J5"/>
    <mergeCell ref="K5:T5"/>
    <mergeCell ref="K6:T6"/>
    <mergeCell ref="A7:J7"/>
    <mergeCell ref="K7:T7"/>
    <mergeCell ref="K8:T8"/>
    <mergeCell ref="K9:T9"/>
    <mergeCell ref="A10:F10"/>
    <mergeCell ref="K10:T10"/>
    <mergeCell ref="A11:F11"/>
    <mergeCell ref="K11:T11"/>
    <mergeCell ref="A12:F12"/>
    <mergeCell ref="K12:T12"/>
    <mergeCell ref="A13:F13"/>
    <mergeCell ref="K13:T13"/>
    <mergeCell ref="K14:T14"/>
    <mergeCell ref="A15:B15"/>
    <mergeCell ref="K15:T15"/>
    <mergeCell ref="K16:T16"/>
    <mergeCell ref="D17:F17"/>
    <mergeCell ref="K17:T17"/>
    <mergeCell ref="D18:F18"/>
    <mergeCell ref="K19:T19"/>
    <mergeCell ref="K20:T20"/>
    <mergeCell ref="K21:T21"/>
    <mergeCell ref="K22:T22"/>
    <mergeCell ref="D23:I23"/>
    <mergeCell ref="D24:I24"/>
    <mergeCell ref="K24:S24"/>
    <mergeCell ref="D25:I25"/>
    <mergeCell ref="K25:S25"/>
    <mergeCell ref="D26:I26"/>
    <mergeCell ref="K26:S26"/>
    <mergeCell ref="D27:I27"/>
    <mergeCell ref="K27:S27"/>
    <mergeCell ref="D28:I28"/>
    <mergeCell ref="K28:S28"/>
    <mergeCell ref="D29:I29"/>
    <mergeCell ref="K29:S29"/>
    <mergeCell ref="K31:T31"/>
    <mergeCell ref="K33:L33"/>
    <mergeCell ref="M33:S33"/>
    <mergeCell ref="M34:S34"/>
    <mergeCell ref="M35:S35"/>
    <mergeCell ref="M37:S37"/>
    <mergeCell ref="M38:S38"/>
    <mergeCell ref="M39:P39"/>
    <mergeCell ref="K43:N43"/>
    <mergeCell ref="K44:N44"/>
    <mergeCell ref="K45:N45"/>
    <mergeCell ref="K46:N46"/>
    <mergeCell ref="K47:Q47"/>
  </mergeCells>
  <pageMargins left="0.7" right="0.7" top="0.75" bottom="0.75" header="0.511811023622047" footer="0.3"/>
  <pageSetup orientation="portrait" horizontalDpi="300" verticalDpi="300"/>
  <headerFooter>
    <oddFooter>&amp;L&amp;"Arial,Bold"&amp;12Nexus Geos LLC
Certificate of Analysis&amp;R&amp;"Arial,Bold"&amp;12Page x of x
xx/xx/2023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048576"/>
  <sheetViews>
    <sheetView tabSelected="1" topLeftCell="A8" zoomScale="80" zoomScaleNormal="80" workbookViewId="0">
      <selection activeCell="G41" sqref="G41"/>
    </sheetView>
  </sheetViews>
  <sheetFormatPr defaultColWidth="11.5703125" defaultRowHeight="15" customHeight="1"/>
  <cols>
    <col min="1" max="1" width="20.85546875" style="25" customWidth="1"/>
    <col min="2" max="2" width="20.28515625" style="25" customWidth="1"/>
    <col min="3" max="3" width="24.42578125" style="25" customWidth="1"/>
    <col min="4" max="4" width="39.7109375" style="25" customWidth="1"/>
    <col min="5" max="5" width="19.5703125" style="25" customWidth="1"/>
    <col min="6" max="9" width="11.5703125" style="25"/>
  </cols>
  <sheetData>
    <row r="2" spans="1:21" ht="19.5">
      <c r="A2" s="99" t="s">
        <v>65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"/>
      <c r="Q2" s="1"/>
      <c r="R2" s="1"/>
      <c r="S2" s="1"/>
      <c r="T2" s="1"/>
      <c r="U2" s="1"/>
    </row>
    <row r="3" spans="1:21">
      <c r="A3" s="26"/>
      <c r="B3" s="26"/>
      <c r="C3" s="27"/>
      <c r="D3" s="28"/>
      <c r="E3" s="26"/>
      <c r="F3" s="29"/>
      <c r="G3" s="26"/>
      <c r="H3" s="29"/>
      <c r="I3" s="1"/>
      <c r="J3" s="30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6.149999999999999" customHeight="1">
      <c r="A4" s="84" t="s">
        <v>66</v>
      </c>
      <c r="B4" s="84" t="s">
        <v>67</v>
      </c>
      <c r="C4" s="84" t="s">
        <v>68</v>
      </c>
      <c r="D4" s="84" t="s">
        <v>69</v>
      </c>
      <c r="E4" s="85" t="s">
        <v>70</v>
      </c>
      <c r="F4" s="86" t="s">
        <v>71</v>
      </c>
      <c r="G4" s="86" t="s">
        <v>72</v>
      </c>
      <c r="H4" s="87" t="s">
        <v>73</v>
      </c>
      <c r="I4" s="88" t="s">
        <v>74</v>
      </c>
      <c r="J4" s="89" t="s">
        <v>75</v>
      </c>
      <c r="K4" s="90" t="s">
        <v>76</v>
      </c>
      <c r="L4" s="90" t="s">
        <v>77</v>
      </c>
      <c r="M4" s="90" t="s">
        <v>78</v>
      </c>
      <c r="N4" s="90" t="s">
        <v>79</v>
      </c>
      <c r="O4" s="87" t="s">
        <v>80</v>
      </c>
      <c r="P4" s="31"/>
      <c r="Q4" s="1"/>
      <c r="R4" s="1"/>
      <c r="S4" s="1"/>
      <c r="T4" s="32" t="s">
        <v>81</v>
      </c>
      <c r="U4" s="1"/>
    </row>
    <row r="5" spans="1:21" ht="12.75">
      <c r="A5" s="84"/>
      <c r="B5" s="84"/>
      <c r="C5" s="84"/>
      <c r="D5" s="84"/>
      <c r="E5" s="85"/>
      <c r="F5" s="86"/>
      <c r="G5" s="86"/>
      <c r="H5" s="87"/>
      <c r="I5" s="88"/>
      <c r="J5" s="89"/>
      <c r="K5" s="90"/>
      <c r="L5" s="90"/>
      <c r="M5" s="90"/>
      <c r="N5" s="90"/>
      <c r="O5" s="87"/>
      <c r="P5" s="31"/>
      <c r="Q5" s="1"/>
      <c r="R5" s="1"/>
      <c r="S5" s="1"/>
      <c r="T5" s="1"/>
      <c r="U5" s="1"/>
    </row>
    <row r="6" spans="1:21">
      <c r="A6" s="33" t="s">
        <v>82</v>
      </c>
      <c r="B6" s="34" t="s">
        <v>83</v>
      </c>
      <c r="C6" s="35">
        <v>67</v>
      </c>
      <c r="D6" s="36" t="s">
        <v>84</v>
      </c>
      <c r="E6" s="37" t="s">
        <v>85</v>
      </c>
      <c r="F6" s="37" t="s">
        <v>86</v>
      </c>
      <c r="G6" s="37" t="s">
        <v>87</v>
      </c>
      <c r="H6" s="38">
        <v>39</v>
      </c>
      <c r="I6" s="39" t="s">
        <v>88</v>
      </c>
      <c r="J6" s="36" t="s">
        <v>89</v>
      </c>
      <c r="K6" s="40" t="s">
        <v>88</v>
      </c>
      <c r="L6" s="41" t="s">
        <v>88</v>
      </c>
      <c r="M6" s="41" t="s">
        <v>87</v>
      </c>
      <c r="N6" s="41" t="s">
        <v>87</v>
      </c>
      <c r="O6" s="42">
        <v>45910</v>
      </c>
      <c r="P6" s="31"/>
      <c r="Q6" s="1"/>
      <c r="R6" s="1"/>
      <c r="S6" s="1"/>
      <c r="T6" s="1"/>
      <c r="U6" s="1"/>
    </row>
    <row r="7" spans="1:21" ht="28.35" customHeight="1">
      <c r="A7" s="33" t="s">
        <v>90</v>
      </c>
      <c r="B7" s="34" t="s">
        <v>91</v>
      </c>
      <c r="C7" s="35">
        <v>157</v>
      </c>
      <c r="D7" s="36" t="s">
        <v>92</v>
      </c>
      <c r="E7" s="37" t="s">
        <v>85</v>
      </c>
      <c r="F7" s="37" t="s">
        <v>86</v>
      </c>
      <c r="G7" s="37" t="s">
        <v>87</v>
      </c>
      <c r="H7" s="38">
        <v>39</v>
      </c>
      <c r="I7" s="39" t="s">
        <v>88</v>
      </c>
      <c r="J7" s="36" t="s">
        <v>89</v>
      </c>
      <c r="K7" s="40" t="s">
        <v>88</v>
      </c>
      <c r="L7" s="41" t="s">
        <v>88</v>
      </c>
      <c r="M7" s="41" t="s">
        <v>87</v>
      </c>
      <c r="N7" s="41" t="s">
        <v>87</v>
      </c>
      <c r="O7" s="42">
        <v>45910</v>
      </c>
      <c r="P7" s="31"/>
      <c r="Q7" s="1"/>
      <c r="R7" s="1"/>
      <c r="S7" s="1"/>
      <c r="T7" s="1"/>
      <c r="U7" s="1"/>
    </row>
    <row r="8" spans="1:21">
      <c r="A8" s="33" t="s">
        <v>82</v>
      </c>
      <c r="B8" s="34" t="s">
        <v>91</v>
      </c>
      <c r="C8" s="35">
        <v>157</v>
      </c>
      <c r="D8" s="36" t="s">
        <v>93</v>
      </c>
      <c r="E8" s="37" t="s">
        <v>85</v>
      </c>
      <c r="F8" s="37" t="s">
        <v>86</v>
      </c>
      <c r="G8" s="37" t="s">
        <v>87</v>
      </c>
      <c r="H8" s="38">
        <v>39</v>
      </c>
      <c r="I8" s="39" t="s">
        <v>88</v>
      </c>
      <c r="J8" s="36" t="s">
        <v>89</v>
      </c>
      <c r="K8" s="40" t="s">
        <v>88</v>
      </c>
      <c r="L8" s="41" t="s">
        <v>88</v>
      </c>
      <c r="M8" s="41" t="s">
        <v>87</v>
      </c>
      <c r="N8" s="41" t="s">
        <v>87</v>
      </c>
      <c r="O8" s="42">
        <v>45910</v>
      </c>
      <c r="P8" s="31"/>
      <c r="Q8" s="1"/>
      <c r="R8" s="1"/>
      <c r="S8" s="1"/>
      <c r="T8" s="1"/>
      <c r="U8" s="1"/>
    </row>
    <row r="9" spans="1:21" ht="17.45" customHeight="1">
      <c r="A9" s="33" t="s">
        <v>94</v>
      </c>
      <c r="B9" s="34" t="s">
        <v>91</v>
      </c>
      <c r="C9" s="35">
        <v>157</v>
      </c>
      <c r="D9" s="36" t="s">
        <v>95</v>
      </c>
      <c r="E9" s="37" t="s">
        <v>85</v>
      </c>
      <c r="F9" s="37" t="s">
        <v>86</v>
      </c>
      <c r="G9" s="37" t="s">
        <v>87</v>
      </c>
      <c r="H9" s="38">
        <v>39</v>
      </c>
      <c r="I9" s="39" t="s">
        <v>88</v>
      </c>
      <c r="J9" s="36" t="s">
        <v>96</v>
      </c>
      <c r="K9" s="40" t="s">
        <v>88</v>
      </c>
      <c r="L9" s="41" t="s">
        <v>88</v>
      </c>
      <c r="M9" s="41" t="s">
        <v>87</v>
      </c>
      <c r="N9" s="41" t="s">
        <v>87</v>
      </c>
      <c r="O9" s="42">
        <v>45910</v>
      </c>
      <c r="P9" s="31"/>
      <c r="Q9" s="1"/>
      <c r="R9" s="1"/>
      <c r="S9" s="1"/>
      <c r="T9" s="1"/>
      <c r="U9" s="1"/>
    </row>
    <row r="10" spans="1:21">
      <c r="A10" s="33" t="s">
        <v>97</v>
      </c>
      <c r="B10" s="34" t="s">
        <v>98</v>
      </c>
      <c r="C10" s="35">
        <v>82</v>
      </c>
      <c r="D10" s="36" t="s">
        <v>99</v>
      </c>
      <c r="E10" s="37" t="s">
        <v>85</v>
      </c>
      <c r="F10" s="37" t="s">
        <v>86</v>
      </c>
      <c r="G10" s="37" t="s">
        <v>100</v>
      </c>
      <c r="H10" s="38">
        <v>39</v>
      </c>
      <c r="I10" s="39" t="s">
        <v>88</v>
      </c>
      <c r="J10" s="36" t="s">
        <v>101</v>
      </c>
      <c r="K10" s="40" t="s">
        <v>88</v>
      </c>
      <c r="L10" s="41">
        <v>10</v>
      </c>
      <c r="M10" s="41">
        <v>1</v>
      </c>
      <c r="N10" s="41">
        <v>19.5</v>
      </c>
      <c r="O10" s="42">
        <v>45910</v>
      </c>
      <c r="P10" s="31"/>
      <c r="Q10" s="1"/>
      <c r="R10" s="1"/>
      <c r="S10" s="1"/>
      <c r="T10" s="1"/>
      <c r="U10" s="1"/>
    </row>
    <row r="11" spans="1:21">
      <c r="A11" s="33" t="s">
        <v>102</v>
      </c>
      <c r="B11" s="34" t="s">
        <v>98</v>
      </c>
      <c r="C11" s="35">
        <v>82</v>
      </c>
      <c r="D11" s="36" t="s">
        <v>103</v>
      </c>
      <c r="E11" s="37" t="s">
        <v>85</v>
      </c>
      <c r="F11" s="37" t="s">
        <v>86</v>
      </c>
      <c r="G11" s="37" t="s">
        <v>104</v>
      </c>
      <c r="H11" s="38">
        <v>39</v>
      </c>
      <c r="I11" s="39" t="s">
        <v>88</v>
      </c>
      <c r="J11" s="36" t="s">
        <v>105</v>
      </c>
      <c r="K11" s="40" t="s">
        <v>88</v>
      </c>
      <c r="L11" s="41">
        <v>10</v>
      </c>
      <c r="M11" s="41">
        <v>1</v>
      </c>
      <c r="N11" s="41">
        <v>19.5</v>
      </c>
      <c r="O11" s="42">
        <v>45910</v>
      </c>
      <c r="P11" s="31"/>
      <c r="Q11" s="1"/>
      <c r="R11" s="1"/>
      <c r="S11" s="1"/>
      <c r="T11" s="1"/>
      <c r="U11" s="1"/>
    </row>
    <row r="12" spans="1:21">
      <c r="A12" s="33" t="s">
        <v>102</v>
      </c>
      <c r="B12" s="34" t="s">
        <v>106</v>
      </c>
      <c r="C12" s="35">
        <v>91</v>
      </c>
      <c r="D12" s="36" t="s">
        <v>107</v>
      </c>
      <c r="E12" s="37" t="s">
        <v>85</v>
      </c>
      <c r="F12" s="37" t="s">
        <v>86</v>
      </c>
      <c r="G12" s="37" t="s">
        <v>104</v>
      </c>
      <c r="H12" s="38">
        <v>39</v>
      </c>
      <c r="I12" s="39" t="s">
        <v>88</v>
      </c>
      <c r="J12" s="36" t="s">
        <v>108</v>
      </c>
      <c r="K12" s="40" t="s">
        <v>88</v>
      </c>
      <c r="L12" s="41">
        <v>10</v>
      </c>
      <c r="M12" s="41">
        <v>1</v>
      </c>
      <c r="N12" s="41">
        <v>19.5</v>
      </c>
      <c r="O12" s="42">
        <v>45910</v>
      </c>
      <c r="P12" s="31"/>
      <c r="Q12" s="1"/>
      <c r="R12" s="1"/>
      <c r="S12" s="1"/>
      <c r="T12" s="1"/>
      <c r="U12" s="1"/>
    </row>
    <row r="13" spans="1:21">
      <c r="A13" s="33" t="s">
        <v>109</v>
      </c>
      <c r="B13" s="34" t="s">
        <v>110</v>
      </c>
      <c r="C13" s="33"/>
      <c r="D13" s="43" t="s">
        <v>111</v>
      </c>
      <c r="E13" s="37" t="s">
        <v>85</v>
      </c>
      <c r="F13" s="37" t="s">
        <v>112</v>
      </c>
      <c r="G13" s="37" t="s">
        <v>87</v>
      </c>
      <c r="H13" s="38">
        <v>39</v>
      </c>
      <c r="I13" s="39" t="s">
        <v>88</v>
      </c>
      <c r="J13" s="43" t="s">
        <v>113</v>
      </c>
      <c r="K13" s="44"/>
      <c r="L13" s="44"/>
      <c r="M13" s="45"/>
      <c r="N13" s="41"/>
      <c r="O13" s="42">
        <v>45910</v>
      </c>
      <c r="P13" s="31"/>
      <c r="Q13" s="1"/>
      <c r="R13" s="1"/>
      <c r="S13" s="1"/>
      <c r="T13" s="1"/>
      <c r="U13" s="1"/>
    </row>
    <row r="14" spans="1:21" ht="12.75">
      <c r="A14" s="13"/>
      <c r="B14" s="1"/>
      <c r="C14" s="13"/>
      <c r="D14" s="13"/>
      <c r="E14" s="13"/>
      <c r="F14" s="13"/>
      <c r="G14" s="13"/>
      <c r="H14" s="13"/>
      <c r="I14" s="13"/>
      <c r="J14" s="1"/>
      <c r="K14" s="1"/>
      <c r="L14" s="1"/>
      <c r="M14" s="1"/>
      <c r="N14" s="1"/>
      <c r="O14" s="31"/>
      <c r="P14" s="31"/>
      <c r="Q14" s="1"/>
      <c r="R14" s="1"/>
      <c r="S14" s="1"/>
      <c r="T14" s="1"/>
      <c r="U14" s="1"/>
    </row>
    <row r="15" spans="1:21" ht="12.75">
      <c r="A15" s="13"/>
      <c r="B15" s="1"/>
      <c r="C15" s="13"/>
      <c r="D15" s="13"/>
      <c r="E15" s="13"/>
      <c r="F15" s="13"/>
      <c r="G15" s="13"/>
      <c r="H15" s="13"/>
      <c r="I15" s="13"/>
      <c r="J15" s="1"/>
      <c r="K15" s="1"/>
      <c r="L15" s="1"/>
      <c r="M15" s="1"/>
      <c r="N15" s="1"/>
      <c r="O15" s="31"/>
      <c r="P15" s="31"/>
      <c r="Q15" s="1"/>
      <c r="R15" s="1"/>
      <c r="S15" s="1"/>
      <c r="T15" s="1"/>
      <c r="U15" s="1"/>
    </row>
    <row r="16" spans="1:21" ht="15.75">
      <c r="A16" s="31"/>
      <c r="B16" s="46"/>
      <c r="C16" s="79"/>
      <c r="D16" s="79"/>
      <c r="E16" s="47"/>
      <c r="F16" s="47"/>
      <c r="G16" s="47"/>
      <c r="H16" s="47"/>
      <c r="I16" s="47"/>
      <c r="J16" s="47"/>
      <c r="K16" s="48"/>
      <c r="L16" s="47"/>
      <c r="M16" s="47"/>
      <c r="N16" s="47"/>
      <c r="O16" s="49"/>
      <c r="P16" s="50"/>
      <c r="Q16" s="31"/>
      <c r="R16" s="31"/>
      <c r="S16" s="79"/>
      <c r="T16" s="31"/>
      <c r="U16" s="46"/>
    </row>
    <row r="17" spans="1:22" ht="38.25">
      <c r="A17" s="79" t="s">
        <v>114</v>
      </c>
      <c r="B17" s="79" t="s">
        <v>114</v>
      </c>
      <c r="C17" s="79" t="s">
        <v>115</v>
      </c>
      <c r="D17" s="79"/>
      <c r="E17" s="79" t="s">
        <v>116</v>
      </c>
      <c r="F17" s="51" t="s">
        <v>117</v>
      </c>
      <c r="G17" s="51" t="s">
        <v>118</v>
      </c>
      <c r="H17" s="51" t="s">
        <v>119</v>
      </c>
      <c r="I17" s="51" t="s">
        <v>120</v>
      </c>
      <c r="J17" s="51" t="s">
        <v>121</v>
      </c>
      <c r="K17" s="51" t="s">
        <v>122</v>
      </c>
      <c r="L17" s="51" t="s">
        <v>123</v>
      </c>
      <c r="M17" s="51" t="s">
        <v>124</v>
      </c>
      <c r="N17" s="51" t="s">
        <v>125</v>
      </c>
      <c r="O17" s="51" t="s">
        <v>126</v>
      </c>
      <c r="P17" s="51" t="s">
        <v>127</v>
      </c>
      <c r="Q17" s="51" t="s">
        <v>128</v>
      </c>
      <c r="R17" s="51" t="s">
        <v>129</v>
      </c>
      <c r="S17" s="79" t="s">
        <v>130</v>
      </c>
      <c r="T17" s="79" t="s">
        <v>131</v>
      </c>
      <c r="U17" s="1"/>
      <c r="V17" s="1"/>
    </row>
    <row r="18" spans="1:22">
      <c r="A18" s="79">
        <v>1</v>
      </c>
      <c r="B18" s="79" t="s">
        <v>132</v>
      </c>
      <c r="C18" s="52" t="s">
        <v>84</v>
      </c>
      <c r="D18" s="79" t="s">
        <v>133</v>
      </c>
      <c r="E18" s="79">
        <v>28.846499999999999</v>
      </c>
      <c r="F18" s="51"/>
      <c r="G18" s="79" t="s">
        <v>87</v>
      </c>
      <c r="H18" s="51" t="s">
        <v>134</v>
      </c>
      <c r="I18" s="51">
        <v>0.9607</v>
      </c>
      <c r="J18" s="51">
        <v>4.6600000000000003E-2</v>
      </c>
      <c r="K18" s="51">
        <v>12.1981</v>
      </c>
      <c r="L18" s="51">
        <v>75.328199999999995</v>
      </c>
      <c r="M18" s="51">
        <f>L18-K18</f>
        <v>63.130099999999999</v>
      </c>
      <c r="N18" s="53">
        <f>M18*63.5/65.17</f>
        <v>61.512373024397725</v>
      </c>
      <c r="O18" s="31">
        <v>76.298900000000003</v>
      </c>
      <c r="P18" s="47">
        <f>O18-K18</f>
        <v>64.100800000000007</v>
      </c>
      <c r="Q18" s="47">
        <f>P18-M18</f>
        <v>0.97070000000000789</v>
      </c>
      <c r="R18" s="47">
        <f>P18/J18</f>
        <v>1375.5536480686696</v>
      </c>
      <c r="S18" s="49">
        <f>100*(I18+J18)/Q18</f>
        <v>103.77047491500895</v>
      </c>
      <c r="T18" s="21">
        <v>45913</v>
      </c>
      <c r="U18" s="1"/>
      <c r="V18" s="1"/>
    </row>
    <row r="19" spans="1:22">
      <c r="A19" s="79">
        <v>2</v>
      </c>
      <c r="B19" s="79" t="s">
        <v>135</v>
      </c>
      <c r="C19" s="52" t="s">
        <v>92</v>
      </c>
      <c r="D19" s="79" t="s">
        <v>136</v>
      </c>
      <c r="E19" s="79">
        <v>31.945799999999998</v>
      </c>
      <c r="F19" s="51">
        <v>33.353000000000002</v>
      </c>
      <c r="G19" s="79" t="s">
        <v>87</v>
      </c>
      <c r="H19" s="51" t="s">
        <v>134</v>
      </c>
      <c r="I19" s="51">
        <v>1.0290999999999999</v>
      </c>
      <c r="J19" s="51">
        <v>0.10630000000000001</v>
      </c>
      <c r="K19" s="51">
        <v>11.8218</v>
      </c>
      <c r="L19" s="51">
        <v>78.447800000000001</v>
      </c>
      <c r="M19" s="51">
        <f>L19-K19</f>
        <v>66.626000000000005</v>
      </c>
      <c r="N19" s="53">
        <f>M19*63.5/65.17</f>
        <v>64.918689581095592</v>
      </c>
      <c r="O19" s="31">
        <v>79.546199999999999</v>
      </c>
      <c r="P19" s="47">
        <f>O19-K19</f>
        <v>67.724400000000003</v>
      </c>
      <c r="Q19" s="47">
        <f>P19-M19</f>
        <v>1.098399999999998</v>
      </c>
      <c r="R19" s="47">
        <f>P19/J19</f>
        <v>637.10630291627467</v>
      </c>
      <c r="S19" s="49">
        <f>100*(I19+J19)/Q19</f>
        <v>103.36853605244009</v>
      </c>
      <c r="T19" s="21">
        <v>45913</v>
      </c>
      <c r="U19" s="1"/>
      <c r="V19" s="1"/>
    </row>
    <row r="20" spans="1:22">
      <c r="A20" s="79">
        <v>3</v>
      </c>
      <c r="B20" s="79" t="s">
        <v>137</v>
      </c>
      <c r="C20" s="52" t="s">
        <v>93</v>
      </c>
      <c r="D20" s="79" t="s">
        <v>133</v>
      </c>
      <c r="E20" s="79">
        <v>28.6572</v>
      </c>
      <c r="F20" s="51">
        <v>29.913399999999999</v>
      </c>
      <c r="G20" s="79" t="s">
        <v>87</v>
      </c>
      <c r="H20" s="51" t="s">
        <v>134</v>
      </c>
      <c r="I20" s="51">
        <v>1.3124</v>
      </c>
      <c r="J20" s="51">
        <v>0.1208</v>
      </c>
      <c r="K20" s="51">
        <v>11.8307</v>
      </c>
      <c r="L20" s="51">
        <v>78.269400000000005</v>
      </c>
      <c r="M20" s="51">
        <f>L20-K20</f>
        <v>66.438700000000011</v>
      </c>
      <c r="N20" s="53">
        <f>M20*63.5/65.17</f>
        <v>64.736189197483512</v>
      </c>
      <c r="O20" s="31">
        <v>79.655199999999994</v>
      </c>
      <c r="P20" s="47">
        <f>O20-K20</f>
        <v>67.8245</v>
      </c>
      <c r="Q20" s="47">
        <f>P20-M20</f>
        <v>1.385799999999989</v>
      </c>
      <c r="R20" s="47">
        <f>P20/J20</f>
        <v>561.46109271523176</v>
      </c>
      <c r="S20" s="49">
        <f>100*(I20+J20)/Q20</f>
        <v>103.42040698513576</v>
      </c>
      <c r="T20" s="21">
        <v>45913</v>
      </c>
      <c r="U20" s="1"/>
      <c r="V20" s="1"/>
    </row>
    <row r="21" spans="1:22">
      <c r="A21" s="79">
        <v>4</v>
      </c>
      <c r="B21" s="79" t="s">
        <v>138</v>
      </c>
      <c r="C21" s="52" t="s">
        <v>95</v>
      </c>
      <c r="D21" s="79" t="s">
        <v>139</v>
      </c>
      <c r="E21" s="79">
        <v>30.885200000000001</v>
      </c>
      <c r="F21" s="51">
        <v>47.023699999999998</v>
      </c>
      <c r="G21" s="79" t="s">
        <v>87</v>
      </c>
      <c r="H21" s="51" t="s">
        <v>134</v>
      </c>
      <c r="I21" s="51">
        <v>1.2467999999999999</v>
      </c>
      <c r="J21" s="51">
        <v>0.1457</v>
      </c>
      <c r="K21" s="51">
        <v>12.083399999999999</v>
      </c>
      <c r="L21" s="51">
        <v>78.850399999999993</v>
      </c>
      <c r="M21" s="51">
        <f>L21-K21</f>
        <v>66.766999999999996</v>
      </c>
      <c r="N21" s="53">
        <f>M21*63.5/65.17</f>
        <v>65.056076415528608</v>
      </c>
      <c r="O21" s="31">
        <v>80.211100000000002</v>
      </c>
      <c r="P21" s="47">
        <f>O21-K21</f>
        <v>68.127700000000004</v>
      </c>
      <c r="Q21" s="47">
        <f>P21-M21</f>
        <v>1.3607000000000085</v>
      </c>
      <c r="R21" s="47">
        <f>P21/J21</f>
        <v>467.58888126286894</v>
      </c>
      <c r="S21" s="49">
        <f>100*(I21+J21)/Q21</f>
        <v>102.33703240978842</v>
      </c>
      <c r="T21" s="21">
        <v>45913</v>
      </c>
      <c r="U21" s="1"/>
      <c r="V21" s="1"/>
    </row>
    <row r="22" spans="1:22">
      <c r="A22" s="79"/>
      <c r="B22" s="79"/>
      <c r="C22" s="52"/>
      <c r="D22" s="79"/>
      <c r="E22" s="79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1"/>
      <c r="V22" s="1" t="s">
        <v>140</v>
      </c>
    </row>
    <row r="23" spans="1:22" ht="38.25">
      <c r="A23" s="79">
        <v>5</v>
      </c>
      <c r="B23" s="79" t="s">
        <v>141</v>
      </c>
      <c r="C23" s="52" t="s">
        <v>99</v>
      </c>
      <c r="D23" s="54" t="s">
        <v>100</v>
      </c>
      <c r="E23" s="79">
        <v>32.171999999999997</v>
      </c>
      <c r="F23" s="51">
        <v>39.711500000000001</v>
      </c>
      <c r="G23" s="51">
        <v>38.053800000000003</v>
      </c>
      <c r="H23" s="51" t="s">
        <v>142</v>
      </c>
      <c r="I23" s="51" t="s">
        <v>87</v>
      </c>
      <c r="J23" s="51">
        <f>G23-E23</f>
        <v>5.8818000000000055</v>
      </c>
      <c r="K23" s="51" t="s">
        <v>87</v>
      </c>
      <c r="L23" s="51" t="s">
        <v>87</v>
      </c>
      <c r="M23" s="51" t="s">
        <v>87</v>
      </c>
      <c r="N23" s="51">
        <v>20</v>
      </c>
      <c r="O23" s="51" t="s">
        <v>87</v>
      </c>
      <c r="P23" s="51" t="s">
        <v>87</v>
      </c>
      <c r="Q23" s="51" t="s">
        <v>87</v>
      </c>
      <c r="R23" s="1"/>
      <c r="S23" s="51" t="s">
        <v>87</v>
      </c>
      <c r="T23" s="21">
        <v>45913</v>
      </c>
      <c r="U23" s="55" t="s">
        <v>143</v>
      </c>
      <c r="V23" s="1" t="s">
        <v>144</v>
      </c>
    </row>
    <row r="24" spans="1:22">
      <c r="A24" s="79">
        <v>6</v>
      </c>
      <c r="B24" s="79" t="s">
        <v>145</v>
      </c>
      <c r="C24" s="52" t="s">
        <v>103</v>
      </c>
      <c r="D24" s="54" t="s">
        <v>104</v>
      </c>
      <c r="E24" s="79">
        <v>31.675899999999999</v>
      </c>
      <c r="F24" s="51">
        <v>44.898499999999999</v>
      </c>
      <c r="G24" s="51">
        <v>42.691000000000003</v>
      </c>
      <c r="H24" s="51" t="s">
        <v>142</v>
      </c>
      <c r="I24" s="51" t="s">
        <v>87</v>
      </c>
      <c r="J24" s="51">
        <f>G24-E24</f>
        <v>11.015100000000004</v>
      </c>
      <c r="K24" s="51" t="s">
        <v>87</v>
      </c>
      <c r="L24" s="51" t="s">
        <v>87</v>
      </c>
      <c r="M24" s="51" t="s">
        <v>87</v>
      </c>
      <c r="N24" s="51">
        <v>40</v>
      </c>
      <c r="O24" s="51" t="s">
        <v>87</v>
      </c>
      <c r="P24" s="51" t="s">
        <v>87</v>
      </c>
      <c r="Q24" s="51" t="s">
        <v>87</v>
      </c>
      <c r="R24" s="1"/>
      <c r="S24" s="51" t="s">
        <v>87</v>
      </c>
      <c r="T24" s="21">
        <v>45913</v>
      </c>
      <c r="U24" s="55" t="s">
        <v>146</v>
      </c>
      <c r="V24" s="1" t="s">
        <v>147</v>
      </c>
    </row>
    <row r="25" spans="1:22">
      <c r="A25" s="79">
        <v>7</v>
      </c>
      <c r="B25" s="79" t="s">
        <v>148</v>
      </c>
      <c r="C25" s="52" t="s">
        <v>107</v>
      </c>
      <c r="D25" s="54" t="s">
        <v>104</v>
      </c>
      <c r="E25" s="79">
        <v>34.148499999999999</v>
      </c>
      <c r="F25" s="51">
        <v>44.472299999999997</v>
      </c>
      <c r="G25" s="51">
        <v>42.095399999999998</v>
      </c>
      <c r="H25" s="51" t="s">
        <v>142</v>
      </c>
      <c r="I25" s="51" t="s">
        <v>87</v>
      </c>
      <c r="J25" s="51">
        <f>G25-E25</f>
        <v>7.9468999999999994</v>
      </c>
      <c r="K25" s="51" t="s">
        <v>87</v>
      </c>
      <c r="L25" s="51" t="s">
        <v>87</v>
      </c>
      <c r="M25" s="51" t="s">
        <v>87</v>
      </c>
      <c r="N25" s="51">
        <v>25</v>
      </c>
      <c r="O25" s="51" t="s">
        <v>87</v>
      </c>
      <c r="P25" s="51" t="s">
        <v>87</v>
      </c>
      <c r="Q25" s="51" t="s">
        <v>87</v>
      </c>
      <c r="R25" s="1"/>
      <c r="S25" s="51" t="s">
        <v>87</v>
      </c>
      <c r="T25" s="21">
        <v>45913</v>
      </c>
      <c r="U25" s="55" t="s">
        <v>146</v>
      </c>
      <c r="V25" s="1" t="s">
        <v>149</v>
      </c>
    </row>
    <row r="26" spans="1:22">
      <c r="A26" s="79">
        <v>8</v>
      </c>
      <c r="B26" s="79" t="s">
        <v>150</v>
      </c>
      <c r="C26" s="56" t="s">
        <v>111</v>
      </c>
      <c r="D26" s="79" t="s">
        <v>151</v>
      </c>
      <c r="E26" s="79" t="s">
        <v>87</v>
      </c>
      <c r="F26" s="79" t="s">
        <v>87</v>
      </c>
      <c r="G26" s="79" t="s">
        <v>87</v>
      </c>
      <c r="H26" s="51" t="s">
        <v>152</v>
      </c>
      <c r="I26" s="51" t="s">
        <v>87</v>
      </c>
      <c r="J26" s="51"/>
      <c r="K26" s="51" t="s">
        <v>87</v>
      </c>
      <c r="L26" s="51" t="s">
        <v>87</v>
      </c>
      <c r="M26" s="51" t="s">
        <v>87</v>
      </c>
      <c r="N26" s="51"/>
      <c r="O26" s="51" t="s">
        <v>87</v>
      </c>
      <c r="P26" s="51" t="s">
        <v>87</v>
      </c>
      <c r="Q26" s="51" t="s">
        <v>87</v>
      </c>
      <c r="R26" s="1"/>
      <c r="S26" s="51" t="s">
        <v>87</v>
      </c>
      <c r="T26" s="1"/>
      <c r="U26" s="1"/>
      <c r="V26" s="1"/>
    </row>
    <row r="27" spans="1:22" ht="12.75">
      <c r="A27" s="79">
        <v>9</v>
      </c>
      <c r="B27" s="79" t="s">
        <v>153</v>
      </c>
      <c r="C27" s="79" t="s">
        <v>154</v>
      </c>
      <c r="D27" s="79" t="s">
        <v>134</v>
      </c>
      <c r="E27" s="79" t="s">
        <v>87</v>
      </c>
      <c r="F27" s="79" t="s">
        <v>87</v>
      </c>
      <c r="G27" s="79" t="s">
        <v>87</v>
      </c>
      <c r="H27" s="51" t="s">
        <v>134</v>
      </c>
      <c r="I27" s="47">
        <v>1.4604999999999999</v>
      </c>
      <c r="J27" s="47">
        <v>0.1179</v>
      </c>
      <c r="K27" s="47">
        <v>12.623200000000001</v>
      </c>
      <c r="L27" s="30">
        <v>77.078400000000002</v>
      </c>
      <c r="M27" s="47">
        <f>L27-K27</f>
        <v>64.455200000000005</v>
      </c>
      <c r="N27" s="47">
        <f>M27*63.5/65.17</f>
        <v>62.803516955654445</v>
      </c>
      <c r="O27" s="48">
        <v>78.648099999999999</v>
      </c>
      <c r="P27" s="47">
        <f>O27-K27</f>
        <v>66.024900000000002</v>
      </c>
      <c r="Q27" s="47">
        <f>P27-M27</f>
        <v>1.5696999999999974</v>
      </c>
      <c r="R27" s="47">
        <f>P27/J27</f>
        <v>560.00763358778624</v>
      </c>
      <c r="S27" s="49">
        <f>100*(I27+J27)/Q27</f>
        <v>100.55424603427421</v>
      </c>
      <c r="T27" s="50">
        <v>45890</v>
      </c>
      <c r="U27" s="1"/>
      <c r="V27" s="1"/>
    </row>
    <row r="28" spans="1:22" ht="12.75">
      <c r="A28" s="13"/>
      <c r="B28" s="13"/>
      <c r="C28" s="1"/>
      <c r="D28" s="1"/>
      <c r="E28" s="1"/>
      <c r="F28" s="1"/>
      <c r="G28" s="30"/>
      <c r="H28" s="3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2.75">
      <c r="A29" s="13"/>
      <c r="B29" s="13"/>
      <c r="C29" s="1"/>
      <c r="D29" s="1"/>
      <c r="E29" s="1"/>
      <c r="F29" s="1"/>
      <c r="G29" s="30"/>
      <c r="H29" s="3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2.75">
      <c r="A30" s="13"/>
      <c r="B30" s="13"/>
      <c r="C30" s="1"/>
      <c r="D30" s="1"/>
      <c r="E30" s="1"/>
      <c r="F30" s="1"/>
      <c r="G30" s="30"/>
      <c r="H30" s="3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2.75">
      <c r="A31" s="13"/>
      <c r="B31" s="13"/>
      <c r="C31" s="1"/>
      <c r="D31" s="1"/>
      <c r="E31" s="1"/>
      <c r="F31" s="1"/>
      <c r="G31" s="30"/>
      <c r="H31" s="3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2.75">
      <c r="A32" s="13"/>
      <c r="B32" s="13"/>
      <c r="C32" s="1"/>
      <c r="D32" s="1"/>
      <c r="E32" s="1"/>
      <c r="F32" s="1"/>
      <c r="G32" s="30"/>
      <c r="H32" s="3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8" customFormat="1" ht="12.75">
      <c r="A33" s="13"/>
      <c r="B33" s="13"/>
      <c r="C33" s="1"/>
      <c r="D33" s="1"/>
      <c r="E33" s="1"/>
      <c r="F33" s="1"/>
      <c r="G33" s="30"/>
      <c r="H33" s="30"/>
    </row>
    <row r="1048563" ht="15.75"/>
    <row r="1048564" ht="15.75"/>
    <row r="1048565" ht="15.75"/>
    <row r="1048566" ht="15.75"/>
    <row r="1048567" ht="15.75"/>
    <row r="1048568" ht="15.75"/>
    <row r="1048569" ht="15.75"/>
    <row r="1048570" ht="15.75"/>
    <row r="1048571" ht="15.75"/>
    <row r="1048572" ht="15.75"/>
    <row r="1048573" ht="15.75"/>
    <row r="1048574" ht="15.75"/>
    <row r="1048575" ht="15.75"/>
    <row r="1048576" ht="15.75"/>
  </sheetData>
  <mergeCells count="17">
    <mergeCell ref="O4:O5"/>
    <mergeCell ref="F22:T22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87"/>
  <sheetViews>
    <sheetView zoomScale="80" zoomScaleNormal="80" workbookViewId="0">
      <selection sqref="A1:Q1"/>
    </sheetView>
  </sheetViews>
  <sheetFormatPr defaultColWidth="11.5703125" defaultRowHeight="12.75" customHeight="1"/>
  <cols>
    <col min="1" max="1" width="16.5703125" customWidth="1"/>
    <col min="2" max="2" width="24.140625" customWidth="1"/>
    <col min="3" max="3" width="11.5703125" style="57"/>
    <col min="6" max="6" width="19.85546875" customWidth="1"/>
    <col min="13" max="13" width="20.7109375" customWidth="1"/>
    <col min="14" max="14" width="11.5703125" style="57"/>
    <col min="31" max="31" width="11.5703125" style="57"/>
  </cols>
  <sheetData>
    <row r="1" spans="1:73" ht="15.75">
      <c r="A1" s="91" t="s">
        <v>155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1"/>
      <c r="BT1" s="1"/>
      <c r="BU1" s="1"/>
    </row>
    <row r="2" spans="1:73">
      <c r="A2" s="92" t="s">
        <v>156</v>
      </c>
      <c r="B2" s="92" t="s">
        <v>114</v>
      </c>
      <c r="C2" s="92" t="s">
        <v>157</v>
      </c>
      <c r="D2" s="93" t="s">
        <v>158</v>
      </c>
      <c r="E2" s="80" t="s">
        <v>159</v>
      </c>
      <c r="F2" s="59" t="s">
        <v>160</v>
      </c>
      <c r="G2" s="59" t="s">
        <v>161</v>
      </c>
      <c r="H2" s="59" t="s">
        <v>162</v>
      </c>
      <c r="I2" s="59" t="s">
        <v>163</v>
      </c>
      <c r="J2" s="59" t="s">
        <v>164</v>
      </c>
      <c r="K2" s="59" t="s">
        <v>165</v>
      </c>
      <c r="L2" s="59" t="s">
        <v>166</v>
      </c>
      <c r="M2" s="59" t="s">
        <v>167</v>
      </c>
      <c r="N2" s="59" t="s">
        <v>168</v>
      </c>
      <c r="O2" s="59" t="s">
        <v>169</v>
      </c>
      <c r="P2" s="59" t="s">
        <v>170</v>
      </c>
      <c r="Q2" s="59" t="s">
        <v>171</v>
      </c>
      <c r="R2" s="59" t="s">
        <v>172</v>
      </c>
      <c r="S2" s="59" t="s">
        <v>173</v>
      </c>
      <c r="T2" s="59" t="s">
        <v>174</v>
      </c>
      <c r="U2" s="59" t="s">
        <v>175</v>
      </c>
      <c r="V2" s="59" t="s">
        <v>176</v>
      </c>
      <c r="W2" s="59" t="s">
        <v>177</v>
      </c>
      <c r="X2" s="59" t="s">
        <v>178</v>
      </c>
      <c r="Y2" s="59" t="s">
        <v>179</v>
      </c>
      <c r="Z2" s="59" t="s">
        <v>180</v>
      </c>
      <c r="AA2" s="59" t="s">
        <v>181</v>
      </c>
      <c r="AB2" s="59" t="s">
        <v>182</v>
      </c>
      <c r="AC2" s="59" t="s">
        <v>183</v>
      </c>
      <c r="AD2" s="59" t="s">
        <v>184</v>
      </c>
      <c r="AE2" s="59" t="s">
        <v>185</v>
      </c>
      <c r="AF2" s="59" t="s">
        <v>186</v>
      </c>
      <c r="AG2" s="59" t="s">
        <v>187</v>
      </c>
      <c r="AH2" s="59" t="s">
        <v>188</v>
      </c>
      <c r="AI2" s="59" t="s">
        <v>189</v>
      </c>
      <c r="AJ2" s="59" t="s">
        <v>190</v>
      </c>
      <c r="AK2" s="59" t="s">
        <v>191</v>
      </c>
      <c r="AL2" s="59" t="s">
        <v>192</v>
      </c>
      <c r="AM2" s="59" t="s">
        <v>193</v>
      </c>
      <c r="AN2" s="59" t="s">
        <v>194</v>
      </c>
      <c r="AO2" s="59" t="s">
        <v>195</v>
      </c>
      <c r="AP2" s="59" t="s">
        <v>196</v>
      </c>
      <c r="AQ2" s="59" t="s">
        <v>197</v>
      </c>
      <c r="AR2" s="59" t="s">
        <v>198</v>
      </c>
      <c r="AS2" s="59" t="s">
        <v>199</v>
      </c>
      <c r="AT2" s="59" t="s">
        <v>200</v>
      </c>
      <c r="AU2" s="59" t="s">
        <v>201</v>
      </c>
      <c r="AV2" s="59" t="s">
        <v>202</v>
      </c>
      <c r="AW2" s="59" t="s">
        <v>203</v>
      </c>
      <c r="AX2" s="59" t="s">
        <v>204</v>
      </c>
      <c r="AY2" s="59" t="s">
        <v>205</v>
      </c>
      <c r="AZ2" s="59" t="s">
        <v>206</v>
      </c>
      <c r="BA2" s="59" t="s">
        <v>207</v>
      </c>
      <c r="BB2" s="59" t="s">
        <v>208</v>
      </c>
      <c r="BC2" s="59" t="s">
        <v>209</v>
      </c>
      <c r="BD2" s="59" t="s">
        <v>210</v>
      </c>
      <c r="BE2" s="59" t="s">
        <v>211</v>
      </c>
      <c r="BF2" s="59" t="s">
        <v>212</v>
      </c>
      <c r="BG2" s="59" t="s">
        <v>213</v>
      </c>
      <c r="BH2" s="59" t="s">
        <v>214</v>
      </c>
      <c r="BI2" s="59" t="s">
        <v>215</v>
      </c>
      <c r="BJ2" s="59" t="s">
        <v>216</v>
      </c>
      <c r="BK2" s="59" t="s">
        <v>217</v>
      </c>
      <c r="BL2" s="59" t="s">
        <v>218</v>
      </c>
      <c r="BM2" s="59" t="s">
        <v>219</v>
      </c>
      <c r="BN2" s="59" t="s">
        <v>220</v>
      </c>
      <c r="BO2" s="59" t="s">
        <v>221</v>
      </c>
      <c r="BP2" s="59" t="s">
        <v>222</v>
      </c>
      <c r="BQ2" s="59" t="s">
        <v>223</v>
      </c>
      <c r="BR2" s="59" t="s">
        <v>224</v>
      </c>
      <c r="BS2" s="1"/>
      <c r="BT2" s="1"/>
      <c r="BU2" s="1"/>
    </row>
    <row r="3" spans="1:73" s="61" customFormat="1">
      <c r="A3" s="92"/>
      <c r="B3" s="92"/>
      <c r="C3" s="92"/>
      <c r="D3" s="93"/>
      <c r="E3" s="60" t="s">
        <v>225</v>
      </c>
      <c r="F3" s="60">
        <v>7</v>
      </c>
      <c r="G3" s="60">
        <v>9</v>
      </c>
      <c r="H3" s="60">
        <v>23</v>
      </c>
      <c r="I3" s="60">
        <v>24</v>
      </c>
      <c r="J3" s="60">
        <v>27</v>
      </c>
      <c r="K3" s="60">
        <v>31</v>
      </c>
      <c r="L3" s="60">
        <v>34</v>
      </c>
      <c r="M3" s="60">
        <v>35</v>
      </c>
      <c r="N3" s="60">
        <v>39</v>
      </c>
      <c r="O3" s="60">
        <v>44</v>
      </c>
      <c r="P3" s="60">
        <v>45</v>
      </c>
      <c r="Q3" s="60">
        <v>47</v>
      </c>
      <c r="R3" s="60">
        <v>51</v>
      </c>
      <c r="S3" s="60">
        <v>52</v>
      </c>
      <c r="T3" s="60">
        <v>55</v>
      </c>
      <c r="U3" s="60">
        <v>57</v>
      </c>
      <c r="V3" s="60">
        <v>59</v>
      </c>
      <c r="W3" s="60">
        <v>60</v>
      </c>
      <c r="X3" s="60">
        <v>63</v>
      </c>
      <c r="Y3" s="60">
        <v>66</v>
      </c>
      <c r="Z3" s="60">
        <v>71</v>
      </c>
      <c r="AA3" s="60">
        <v>72</v>
      </c>
      <c r="AB3" s="60">
        <v>75</v>
      </c>
      <c r="AC3" s="60">
        <v>82</v>
      </c>
      <c r="AD3" s="60">
        <v>85</v>
      </c>
      <c r="AE3" s="60">
        <v>88</v>
      </c>
      <c r="AF3" s="60">
        <v>89</v>
      </c>
      <c r="AG3" s="60">
        <v>90</v>
      </c>
      <c r="AH3" s="60">
        <v>93</v>
      </c>
      <c r="AI3" s="60">
        <v>95</v>
      </c>
      <c r="AJ3" s="60">
        <v>101</v>
      </c>
      <c r="AK3" s="60">
        <v>103</v>
      </c>
      <c r="AL3" s="60">
        <v>105</v>
      </c>
      <c r="AM3" s="60">
        <v>107</v>
      </c>
      <c r="AN3" s="60">
        <v>115</v>
      </c>
      <c r="AO3" s="60">
        <v>121</v>
      </c>
      <c r="AP3" s="60">
        <v>125</v>
      </c>
      <c r="AQ3" s="60">
        <v>133</v>
      </c>
      <c r="AR3" s="60">
        <v>137</v>
      </c>
      <c r="AS3" s="60">
        <v>139</v>
      </c>
      <c r="AT3" s="60">
        <v>140</v>
      </c>
      <c r="AU3" s="60">
        <v>141</v>
      </c>
      <c r="AV3" s="60">
        <v>146</v>
      </c>
      <c r="AW3" s="60">
        <v>147</v>
      </c>
      <c r="AX3" s="60">
        <v>153</v>
      </c>
      <c r="AY3" s="60">
        <v>157</v>
      </c>
      <c r="AZ3" s="60">
        <v>159</v>
      </c>
      <c r="BA3" s="60">
        <v>163</v>
      </c>
      <c r="BB3" s="60">
        <v>165</v>
      </c>
      <c r="BC3" s="60">
        <v>166</v>
      </c>
      <c r="BD3" s="60">
        <v>169</v>
      </c>
      <c r="BE3" s="60">
        <v>172</v>
      </c>
      <c r="BF3" s="60">
        <v>175</v>
      </c>
      <c r="BG3" s="60">
        <v>178</v>
      </c>
      <c r="BH3" s="60">
        <v>181</v>
      </c>
      <c r="BI3" s="60">
        <v>182</v>
      </c>
      <c r="BJ3" s="60">
        <v>185</v>
      </c>
      <c r="BK3" s="60">
        <v>189</v>
      </c>
      <c r="BL3" s="60">
        <v>193</v>
      </c>
      <c r="BM3" s="60">
        <v>195</v>
      </c>
      <c r="BN3" s="60">
        <v>197</v>
      </c>
      <c r="BO3" s="60">
        <v>205</v>
      </c>
      <c r="BP3" s="60">
        <v>209</v>
      </c>
      <c r="BQ3" s="60">
        <v>232</v>
      </c>
      <c r="BR3" s="60">
        <v>238</v>
      </c>
      <c r="BS3" s="1"/>
      <c r="BT3" s="1"/>
      <c r="BU3" s="1"/>
    </row>
    <row r="4" spans="1:73" ht="15">
      <c r="A4" s="62" t="s">
        <v>226</v>
      </c>
      <c r="B4" s="52" t="s">
        <v>84</v>
      </c>
      <c r="C4" s="63" t="s">
        <v>134</v>
      </c>
      <c r="D4" s="63" t="s">
        <v>227</v>
      </c>
      <c r="E4" s="64"/>
      <c r="F4" s="65" t="s">
        <v>87</v>
      </c>
      <c r="G4" s="66">
        <v>1.51310901287554</v>
      </c>
      <c r="H4" s="67">
        <v>13639.9899742489</v>
      </c>
      <c r="I4" s="67">
        <v>1500.7290300429199</v>
      </c>
      <c r="J4" s="67">
        <v>2543.3986952789701</v>
      </c>
      <c r="K4" s="67">
        <v>201.656164806867</v>
      </c>
      <c r="L4" s="67">
        <v>106825.496309013</v>
      </c>
      <c r="M4" s="67">
        <v>-103070.234849785</v>
      </c>
      <c r="N4" s="67">
        <v>-909.37851673819796</v>
      </c>
      <c r="O4" s="67">
        <v>67319.595536480701</v>
      </c>
      <c r="P4" s="66">
        <v>4.2642163090128804</v>
      </c>
      <c r="Q4" s="67">
        <v>79.919666952789697</v>
      </c>
      <c r="R4" s="67">
        <v>131.22781802575099</v>
      </c>
      <c r="S4" s="67">
        <v>4378.3872618025798</v>
      </c>
      <c r="T4" s="67">
        <v>789.98046008583697</v>
      </c>
      <c r="U4" s="67">
        <v>14677.157424892701</v>
      </c>
      <c r="V4" s="68">
        <v>78.681668669527895</v>
      </c>
      <c r="W4" s="68">
        <v>1495.2268154506401</v>
      </c>
      <c r="X4" s="69">
        <v>-103.716745064378</v>
      </c>
      <c r="Y4" s="69">
        <v>3965.7211673819802</v>
      </c>
      <c r="Z4" s="67">
        <v>1.6506643776823999</v>
      </c>
      <c r="AA4" s="67">
        <v>0.96288755364806899</v>
      </c>
      <c r="AB4" s="67">
        <v>29.436848068669502</v>
      </c>
      <c r="AC4" s="67">
        <v>-6.3275467811158803</v>
      </c>
      <c r="AD4" s="67">
        <v>1.10044291845494</v>
      </c>
      <c r="AE4" s="70">
        <v>825.057078111588</v>
      </c>
      <c r="AF4" s="71">
        <v>3.43888412017168</v>
      </c>
      <c r="AG4" s="71">
        <v>0.55022145922746801</v>
      </c>
      <c r="AH4" s="71">
        <v>0</v>
      </c>
      <c r="AI4" s="71">
        <v>392.17034506437801</v>
      </c>
      <c r="AJ4" s="72">
        <v>1.2379982832617999</v>
      </c>
      <c r="AK4" s="72">
        <v>2.2008858369098698</v>
      </c>
      <c r="AL4" s="72">
        <v>10.1790969957082</v>
      </c>
      <c r="AM4" s="71">
        <v>-3.5764394849785401</v>
      </c>
      <c r="AN4" s="71">
        <v>-0.41266609442060098</v>
      </c>
      <c r="AO4" s="71">
        <v>1.2379982832617999</v>
      </c>
      <c r="AP4" s="71">
        <v>-4.9519931330472096</v>
      </c>
      <c r="AQ4" s="71">
        <v>-0.27511072961373401</v>
      </c>
      <c r="AR4" s="70">
        <v>143.33269012875499</v>
      </c>
      <c r="AS4" s="71">
        <v>6.0524360515021502</v>
      </c>
      <c r="AT4" s="71">
        <v>8.5284326180257501</v>
      </c>
      <c r="AU4" s="71">
        <v>1.7882197424892701</v>
      </c>
      <c r="AV4" s="71">
        <v>3.7139948497854101</v>
      </c>
      <c r="AW4" s="71">
        <v>1.10044291845494</v>
      </c>
      <c r="AX4" s="71">
        <v>1.10044291845494</v>
      </c>
      <c r="AY4" s="71">
        <v>1.3755536480686701</v>
      </c>
      <c r="AZ4" s="71">
        <v>1.10044291845494</v>
      </c>
      <c r="BA4" s="71">
        <v>1.2379982832617999</v>
      </c>
      <c r="BB4" s="66">
        <v>1.10044291845494</v>
      </c>
      <c r="BC4" s="66">
        <v>1.2379982832617999</v>
      </c>
      <c r="BD4" s="66">
        <v>1.10044291845494</v>
      </c>
      <c r="BE4" s="66">
        <v>1.10044291845494</v>
      </c>
      <c r="BF4" s="66">
        <v>1.10044291845494</v>
      </c>
      <c r="BG4" s="66">
        <v>-0.137555364806867</v>
      </c>
      <c r="BH4" s="66">
        <v>-0.137555364806867</v>
      </c>
      <c r="BI4" s="66">
        <v>8.9410987124463599</v>
      </c>
      <c r="BJ4" s="66">
        <v>0.96288755364806899</v>
      </c>
      <c r="BK4" s="66">
        <v>-0.82533218884120196</v>
      </c>
      <c r="BL4" s="66">
        <v>-0.41266609442060098</v>
      </c>
      <c r="BM4" s="66">
        <v>1.92577510729614</v>
      </c>
      <c r="BN4" s="66">
        <v>26.823296137339099</v>
      </c>
      <c r="BO4" s="66">
        <v>-2.8886626609442101</v>
      </c>
      <c r="BP4" s="66">
        <v>-3.0262180257510698</v>
      </c>
      <c r="BQ4" s="66">
        <v>29.987069527896999</v>
      </c>
      <c r="BR4" s="66">
        <v>42.367052360514997</v>
      </c>
      <c r="BS4" s="73"/>
      <c r="BT4" s="1"/>
      <c r="BU4" s="1"/>
    </row>
    <row r="5" spans="1:73" ht="15">
      <c r="A5" s="62" t="s">
        <v>226</v>
      </c>
      <c r="B5" s="52" t="s">
        <v>84</v>
      </c>
      <c r="C5" s="63" t="s">
        <v>134</v>
      </c>
      <c r="D5" s="63" t="s">
        <v>227</v>
      </c>
      <c r="E5" s="64"/>
      <c r="F5" s="65" t="s">
        <v>87</v>
      </c>
      <c r="G5" s="66">
        <v>3.0262180257510698</v>
      </c>
      <c r="H5" s="67">
        <v>13752.785373390599</v>
      </c>
      <c r="I5" s="67">
        <v>1513.10901287554</v>
      </c>
      <c r="J5" s="67">
        <v>2531.01871244635</v>
      </c>
      <c r="K5" s="67">
        <v>315.41445150214599</v>
      </c>
      <c r="L5" s="67">
        <v>93180.004120171696</v>
      </c>
      <c r="M5" s="67">
        <v>-95559.711931330501</v>
      </c>
      <c r="N5" s="67">
        <v>-637.15644978540797</v>
      </c>
      <c r="O5" s="67">
        <v>68089.905579399201</v>
      </c>
      <c r="P5" s="66">
        <v>2.7511072961373402</v>
      </c>
      <c r="Q5" s="67">
        <v>61.899914163090202</v>
      </c>
      <c r="R5" s="67">
        <v>139.61869527896999</v>
      </c>
      <c r="S5" s="67">
        <v>4521.44484120172</v>
      </c>
      <c r="T5" s="67">
        <v>801.67266609442095</v>
      </c>
      <c r="U5" s="67">
        <v>14814.712789699601</v>
      </c>
      <c r="V5" s="68">
        <v>77.993891845493593</v>
      </c>
      <c r="W5" s="68">
        <v>1470.46684978541</v>
      </c>
      <c r="X5" s="69">
        <v>-101.515859227468</v>
      </c>
      <c r="Y5" s="69">
        <v>4037.2499570815498</v>
      </c>
      <c r="Z5" s="67">
        <v>1.6506643776823999</v>
      </c>
      <c r="AA5" s="67">
        <v>1.51310901287554</v>
      </c>
      <c r="AB5" s="67">
        <v>41.816830901287602</v>
      </c>
      <c r="AC5" s="67">
        <v>-10.0415416309013</v>
      </c>
      <c r="AD5" s="67">
        <v>1.10044291845494</v>
      </c>
      <c r="AE5" s="70">
        <v>837.43706094420702</v>
      </c>
      <c r="AF5" s="71">
        <v>3.5764394849785401</v>
      </c>
      <c r="AG5" s="71">
        <v>-0.27511072961373401</v>
      </c>
      <c r="AH5" s="71">
        <v>0</v>
      </c>
      <c r="AI5" s="71">
        <v>416.79275536480702</v>
      </c>
      <c r="AJ5" s="72">
        <v>1.2379982832617999</v>
      </c>
      <c r="AK5" s="72">
        <v>2.0633304721030101</v>
      </c>
      <c r="AL5" s="72">
        <v>3.43888412017168</v>
      </c>
      <c r="AM5" s="71">
        <v>-3.7139948497854101</v>
      </c>
      <c r="AN5" s="71">
        <v>-0.41266609442060098</v>
      </c>
      <c r="AO5" s="71">
        <v>1.2379982832617999</v>
      </c>
      <c r="AP5" s="71">
        <v>-5.2271038626609503</v>
      </c>
      <c r="AQ5" s="71">
        <v>-0.27511072961373401</v>
      </c>
      <c r="AR5" s="70">
        <v>144.15802231759699</v>
      </c>
      <c r="AS5" s="71">
        <v>6.0524360515021502</v>
      </c>
      <c r="AT5" s="71">
        <v>8.3908772532188909</v>
      </c>
      <c r="AU5" s="71">
        <v>1.51310901287554</v>
      </c>
      <c r="AV5" s="71">
        <v>3.43888412017168</v>
      </c>
      <c r="AW5" s="71">
        <v>1.10044291845494</v>
      </c>
      <c r="AX5" s="71">
        <v>1.10044291845494</v>
      </c>
      <c r="AY5" s="71">
        <v>1.51310901287554</v>
      </c>
      <c r="AZ5" s="71">
        <v>1.10044291845494</v>
      </c>
      <c r="BA5" s="71">
        <v>1.3755536480686701</v>
      </c>
      <c r="BB5" s="66">
        <v>1.2379982832617999</v>
      </c>
      <c r="BC5" s="66">
        <v>1.2379982832617999</v>
      </c>
      <c r="BD5" s="66">
        <v>0.96288755364806899</v>
      </c>
      <c r="BE5" s="66">
        <v>1.10044291845494</v>
      </c>
      <c r="BF5" s="66">
        <v>0.96288755364806899</v>
      </c>
      <c r="BG5" s="66">
        <v>-0.137555364806867</v>
      </c>
      <c r="BH5" s="66">
        <v>-0.27511072961373401</v>
      </c>
      <c r="BI5" s="66">
        <v>9.9039862660944191</v>
      </c>
      <c r="BJ5" s="66">
        <v>0.96288755364806899</v>
      </c>
      <c r="BK5" s="66">
        <v>-0.82533218884120196</v>
      </c>
      <c r="BL5" s="66">
        <v>-0.41266609442060098</v>
      </c>
      <c r="BM5" s="66">
        <v>1.2379982832617999</v>
      </c>
      <c r="BN5" s="66">
        <v>19.395306437768198</v>
      </c>
      <c r="BO5" s="66">
        <v>-2.8886626609442101</v>
      </c>
      <c r="BP5" s="66">
        <v>-3.1637733905579402</v>
      </c>
      <c r="BQ5" s="66">
        <v>24.484854935622302</v>
      </c>
      <c r="BR5" s="66">
        <v>41.129054077253201</v>
      </c>
      <c r="BS5" s="73"/>
      <c r="BT5" s="1"/>
      <c r="BU5" s="1"/>
    </row>
    <row r="6" spans="1:73" ht="15">
      <c r="A6" s="62" t="s">
        <v>226</v>
      </c>
      <c r="B6" s="52" t="s">
        <v>84</v>
      </c>
      <c r="C6" s="63" t="s">
        <v>134</v>
      </c>
      <c r="D6" s="63" t="s">
        <v>227</v>
      </c>
      <c r="E6" s="64"/>
      <c r="F6" s="65" t="s">
        <v>87</v>
      </c>
      <c r="G6" s="66">
        <v>1.92577510729614</v>
      </c>
      <c r="H6" s="67">
        <v>13568.4611845494</v>
      </c>
      <c r="I6" s="67">
        <v>1489.72460085837</v>
      </c>
      <c r="J6" s="67">
        <v>2883.1604463519302</v>
      </c>
      <c r="K6" s="67">
        <v>287.07804635193099</v>
      </c>
      <c r="L6" s="67">
        <v>84816.637939914202</v>
      </c>
      <c r="M6" s="67">
        <v>-101268.259570815</v>
      </c>
      <c r="N6" s="67">
        <v>-313.626231759657</v>
      </c>
      <c r="O6" s="67">
        <v>68021.127896995706</v>
      </c>
      <c r="P6" s="66">
        <v>3.3013287553648101</v>
      </c>
      <c r="Q6" s="67">
        <v>93.400092703862697</v>
      </c>
      <c r="R6" s="67">
        <v>135.21692360514999</v>
      </c>
      <c r="S6" s="67">
        <v>4334.36954506438</v>
      </c>
      <c r="T6" s="67">
        <v>785.30357768240401</v>
      </c>
      <c r="U6" s="67">
        <v>14470.8243776824</v>
      </c>
      <c r="V6" s="68">
        <v>81.707886695279001</v>
      </c>
      <c r="W6" s="68">
        <v>1433.3269012875501</v>
      </c>
      <c r="X6" s="69">
        <v>-117.74739227467801</v>
      </c>
      <c r="Y6" s="69">
        <v>3964.3456137339099</v>
      </c>
      <c r="Z6" s="67">
        <v>1.92577510729614</v>
      </c>
      <c r="AA6" s="67">
        <v>0.96288755364806899</v>
      </c>
      <c r="AB6" s="67">
        <v>41.266609442060101</v>
      </c>
      <c r="AC6" s="67">
        <v>-7.97821115879829</v>
      </c>
      <c r="AD6" s="67">
        <v>0.96288755364806899</v>
      </c>
      <c r="AE6" s="70">
        <v>814.19020429184604</v>
      </c>
      <c r="AF6" s="71">
        <v>3.5764394849785401</v>
      </c>
      <c r="AG6" s="71">
        <v>1.92577510729614</v>
      </c>
      <c r="AH6" s="71">
        <v>0</v>
      </c>
      <c r="AI6" s="71">
        <v>413.353871244635</v>
      </c>
      <c r="AJ6" s="72">
        <v>1.2379982832617999</v>
      </c>
      <c r="AK6" s="72">
        <v>1.92577510729614</v>
      </c>
      <c r="AL6" s="72">
        <v>2.4759965665236101</v>
      </c>
      <c r="AM6" s="71">
        <v>-3.5764394849785401</v>
      </c>
      <c r="AN6" s="71">
        <v>-0.41266609442060098</v>
      </c>
      <c r="AO6" s="71">
        <v>0.68777682403433504</v>
      </c>
      <c r="AP6" s="71">
        <v>-4.5393270386266096</v>
      </c>
      <c r="AQ6" s="71">
        <v>-0.27511072961373401</v>
      </c>
      <c r="AR6" s="70">
        <v>137.555364806867</v>
      </c>
      <c r="AS6" s="71">
        <v>6.0524360515021502</v>
      </c>
      <c r="AT6" s="71">
        <v>7.8406557939914201</v>
      </c>
      <c r="AU6" s="71">
        <v>1.2379982832617999</v>
      </c>
      <c r="AV6" s="71">
        <v>3.1637733905579402</v>
      </c>
      <c r="AW6" s="71">
        <v>1.2379982832617999</v>
      </c>
      <c r="AX6" s="71">
        <v>0.96288755364806899</v>
      </c>
      <c r="AY6" s="71">
        <v>1.3755536480686701</v>
      </c>
      <c r="AZ6" s="71">
        <v>0.96288755364806899</v>
      </c>
      <c r="BA6" s="71">
        <v>1.2379982832617999</v>
      </c>
      <c r="BB6" s="66">
        <v>0.96288755364806899</v>
      </c>
      <c r="BC6" s="66">
        <v>1.10044291845494</v>
      </c>
      <c r="BD6" s="66">
        <v>0.82533218884120196</v>
      </c>
      <c r="BE6" s="66">
        <v>1.10044291845494</v>
      </c>
      <c r="BF6" s="66">
        <v>0.96288755364806899</v>
      </c>
      <c r="BG6" s="66">
        <v>-0.137555364806867</v>
      </c>
      <c r="BH6" s="66">
        <v>-0.27511072961373401</v>
      </c>
      <c r="BI6" s="66">
        <v>9.9039862660944191</v>
      </c>
      <c r="BJ6" s="66">
        <v>0.96288755364806899</v>
      </c>
      <c r="BK6" s="66">
        <v>-0.82533218884120196</v>
      </c>
      <c r="BL6" s="66">
        <v>-0.55022145922746801</v>
      </c>
      <c r="BM6" s="66">
        <v>1.2379982832617999</v>
      </c>
      <c r="BN6" s="66">
        <v>16.506643776823999</v>
      </c>
      <c r="BO6" s="66">
        <v>-2.8886626609442101</v>
      </c>
      <c r="BP6" s="66">
        <v>-3.1637733905579402</v>
      </c>
      <c r="BQ6" s="66">
        <v>20.2206386266095</v>
      </c>
      <c r="BR6" s="66">
        <v>40.991498712446401</v>
      </c>
      <c r="BS6" s="73"/>
      <c r="BT6" s="1"/>
      <c r="BU6" s="1"/>
    </row>
    <row r="7" spans="1:73" ht="15">
      <c r="A7" s="62" t="s">
        <v>228</v>
      </c>
      <c r="B7" s="52" t="s">
        <v>92</v>
      </c>
      <c r="C7" s="63" t="s">
        <v>134</v>
      </c>
      <c r="D7" s="63" t="s">
        <v>227</v>
      </c>
      <c r="E7" s="64"/>
      <c r="F7" s="65" t="s">
        <v>87</v>
      </c>
      <c r="G7" s="66">
        <v>1.0193700846660401</v>
      </c>
      <c r="H7" s="67">
        <v>30377.228523048001</v>
      </c>
      <c r="I7" s="67">
        <v>4074.9319134524999</v>
      </c>
      <c r="J7" s="67">
        <v>9811.4370649106404</v>
      </c>
      <c r="K7" s="67">
        <v>173.03807187205999</v>
      </c>
      <c r="L7" s="67">
        <v>96521.604891815703</v>
      </c>
      <c r="M7" s="67">
        <v>-44113.240413922897</v>
      </c>
      <c r="N7" s="67">
        <v>2976.5606472248401</v>
      </c>
      <c r="O7" s="67">
        <v>242482.65888993401</v>
      </c>
      <c r="P7" s="66">
        <v>2.80326773283161</v>
      </c>
      <c r="Q7" s="67">
        <v>108.180650235184</v>
      </c>
      <c r="R7" s="67">
        <v>16.0550788334901</v>
      </c>
      <c r="S7" s="67">
        <v>19.941427281279399</v>
      </c>
      <c r="T7" s="67">
        <v>42.431279774223903</v>
      </c>
      <c r="U7" s="67">
        <v>1577.4752060206999</v>
      </c>
      <c r="V7" s="68">
        <v>0.76452756349952999</v>
      </c>
      <c r="W7" s="68">
        <v>11.021939040451599</v>
      </c>
      <c r="X7" s="69">
        <v>5421.7746378174998</v>
      </c>
      <c r="Y7" s="69">
        <v>770.89862652869294</v>
      </c>
      <c r="Z7" s="67">
        <v>1.4016338664158099</v>
      </c>
      <c r="AA7" s="67">
        <v>0.50968504233302003</v>
      </c>
      <c r="AB7" s="67">
        <v>6.1799311382878699</v>
      </c>
      <c r="AC7" s="67">
        <v>-3.8863484477892798</v>
      </c>
      <c r="AD7" s="67">
        <v>9.3654626528692404</v>
      </c>
      <c r="AE7" s="70">
        <v>167.81380018814701</v>
      </c>
      <c r="AF7" s="71">
        <v>6.498484289746</v>
      </c>
      <c r="AG7" s="71">
        <v>2.2935826904985901</v>
      </c>
      <c r="AH7" s="71">
        <v>0</v>
      </c>
      <c r="AI7" s="71">
        <v>31.090787582314199</v>
      </c>
      <c r="AJ7" s="72">
        <v>0.31855315145813801</v>
      </c>
      <c r="AK7" s="72">
        <v>0.70081693320790295</v>
      </c>
      <c r="AL7" s="72">
        <v>0.89194882408278497</v>
      </c>
      <c r="AM7" s="71">
        <v>-1.7838976481655699</v>
      </c>
      <c r="AN7" s="71">
        <v>-0.191131890874883</v>
      </c>
      <c r="AO7" s="71">
        <v>-6.3710630291627504E-2</v>
      </c>
      <c r="AP7" s="71">
        <v>-2.42100395108185</v>
      </c>
      <c r="AQ7" s="71">
        <v>-6.3710630291627504E-2</v>
      </c>
      <c r="AR7" s="70">
        <v>252.48522784572</v>
      </c>
      <c r="AS7" s="71">
        <v>10.703385888993401</v>
      </c>
      <c r="AT7" s="71">
        <v>17.010738287864498</v>
      </c>
      <c r="AU7" s="71">
        <v>2.2298720602069602</v>
      </c>
      <c r="AV7" s="71">
        <v>6.8170374412041399</v>
      </c>
      <c r="AW7" s="71">
        <v>1.33792323612418</v>
      </c>
      <c r="AX7" s="71">
        <v>0.70081693320790295</v>
      </c>
      <c r="AY7" s="71">
        <v>1.4016338664158099</v>
      </c>
      <c r="AZ7" s="71">
        <v>0.382263781749765</v>
      </c>
      <c r="BA7" s="71">
        <v>1.08308071495767</v>
      </c>
      <c r="BB7" s="66">
        <v>0.44597441204139299</v>
      </c>
      <c r="BC7" s="66">
        <v>0.89194882408278497</v>
      </c>
      <c r="BD7" s="66">
        <v>0.31855315145813801</v>
      </c>
      <c r="BE7" s="66">
        <v>0.63710630291627501</v>
      </c>
      <c r="BF7" s="66">
        <v>0.382263781749765</v>
      </c>
      <c r="BG7" s="66">
        <v>-6.3710630291627504E-2</v>
      </c>
      <c r="BH7" s="66">
        <v>-6.3710630291627504E-2</v>
      </c>
      <c r="BI7" s="66">
        <v>-2.35729332079022</v>
      </c>
      <c r="BJ7" s="66">
        <v>0</v>
      </c>
      <c r="BK7" s="66">
        <v>-0.382263781749765</v>
      </c>
      <c r="BL7" s="66">
        <v>-0.191131890874883</v>
      </c>
      <c r="BM7" s="66">
        <v>0.89194882408278497</v>
      </c>
      <c r="BN7" s="66">
        <v>5.4791142050799699</v>
      </c>
      <c r="BO7" s="66">
        <v>-1.33792323612418</v>
      </c>
      <c r="BP7" s="66">
        <v>-1.4653444967074301</v>
      </c>
      <c r="BQ7" s="66">
        <v>9.1106201317027296</v>
      </c>
      <c r="BR7" s="66">
        <v>4.0774803386641603</v>
      </c>
      <c r="BS7" s="73"/>
      <c r="BT7" s="1"/>
      <c r="BU7" s="1"/>
    </row>
    <row r="8" spans="1:73" ht="15">
      <c r="A8" s="62" t="s">
        <v>228</v>
      </c>
      <c r="B8" s="52" t="s">
        <v>92</v>
      </c>
      <c r="C8" s="63" t="s">
        <v>134</v>
      </c>
      <c r="D8" s="63" t="s">
        <v>227</v>
      </c>
      <c r="E8" s="64"/>
      <c r="F8" s="65" t="s">
        <v>87</v>
      </c>
      <c r="G8" s="66">
        <v>0.50968504233302003</v>
      </c>
      <c r="H8" s="67">
        <v>29587.216707431799</v>
      </c>
      <c r="I8" s="67">
        <v>4122.0777798683002</v>
      </c>
      <c r="J8" s="67">
        <v>10193.7008466604</v>
      </c>
      <c r="K8" s="67">
        <v>196.356162558796</v>
      </c>
      <c r="L8" s="67">
        <v>93909.469049859006</v>
      </c>
      <c r="M8" s="67">
        <v>-41074.2433490123</v>
      </c>
      <c r="N8" s="67">
        <v>2931.9632060207</v>
      </c>
      <c r="O8" s="67">
        <v>240889.89313264401</v>
      </c>
      <c r="P8" s="66">
        <v>2.61213584195673</v>
      </c>
      <c r="Q8" s="67">
        <v>134.74798306679199</v>
      </c>
      <c r="R8" s="67">
        <v>15.991368203198499</v>
      </c>
      <c r="S8" s="67">
        <v>21.597903668861701</v>
      </c>
      <c r="T8" s="67">
        <v>42.431279774223903</v>
      </c>
      <c r="U8" s="67">
        <v>1614.42737158984</v>
      </c>
      <c r="V8" s="68">
        <v>0.82823819379115804</v>
      </c>
      <c r="W8" s="68">
        <v>10.767096519284999</v>
      </c>
      <c r="X8" s="69">
        <v>5413.4922558795897</v>
      </c>
      <c r="Y8" s="69">
        <v>781.09232737535297</v>
      </c>
      <c r="Z8" s="67">
        <v>1.5927657572906899</v>
      </c>
      <c r="AA8" s="67">
        <v>0.25484252116651002</v>
      </c>
      <c r="AB8" s="67">
        <v>8.7283563499529695</v>
      </c>
      <c r="AC8" s="67">
        <v>-2.2298720602069602</v>
      </c>
      <c r="AD8" s="67">
        <v>9.6840158043273803</v>
      </c>
      <c r="AE8" s="70">
        <v>168.514617121355</v>
      </c>
      <c r="AF8" s="71">
        <v>6.6896161806208898</v>
      </c>
      <c r="AG8" s="71">
        <v>4.5871653809971802</v>
      </c>
      <c r="AH8" s="71">
        <v>0</v>
      </c>
      <c r="AI8" s="71">
        <v>32.046447036688598</v>
      </c>
      <c r="AJ8" s="72">
        <v>0.25484252116651002</v>
      </c>
      <c r="AK8" s="72">
        <v>0.76452756349952999</v>
      </c>
      <c r="AL8" s="72">
        <v>0.63710630291627501</v>
      </c>
      <c r="AM8" s="71">
        <v>-1.7838976481655699</v>
      </c>
      <c r="AN8" s="71">
        <v>-0.191131890874883</v>
      </c>
      <c r="AO8" s="71">
        <v>0</v>
      </c>
      <c r="AP8" s="71">
        <v>-2.2935826904985901</v>
      </c>
      <c r="AQ8" s="71">
        <v>-6.3710630291627504E-2</v>
      </c>
      <c r="AR8" s="70">
        <v>249.61824948259701</v>
      </c>
      <c r="AS8" s="71">
        <v>10.8945177798683</v>
      </c>
      <c r="AT8" s="71">
        <v>16.819606396989698</v>
      </c>
      <c r="AU8" s="71">
        <v>2.16616142991534</v>
      </c>
      <c r="AV8" s="71">
        <v>6.8807480714957698</v>
      </c>
      <c r="AW8" s="71">
        <v>1.4653444967074301</v>
      </c>
      <c r="AX8" s="71">
        <v>0.70081693320790295</v>
      </c>
      <c r="AY8" s="71">
        <v>1.4016338664158099</v>
      </c>
      <c r="AZ8" s="71">
        <v>0.382263781749765</v>
      </c>
      <c r="BA8" s="71">
        <v>1.2105019755409201</v>
      </c>
      <c r="BB8" s="66">
        <v>0.382263781749765</v>
      </c>
      <c r="BC8" s="66">
        <v>0.76452756349952999</v>
      </c>
      <c r="BD8" s="66">
        <v>0.31855315145813801</v>
      </c>
      <c r="BE8" s="66">
        <v>0.70081693320790295</v>
      </c>
      <c r="BF8" s="66">
        <v>0.31855315145813801</v>
      </c>
      <c r="BG8" s="66">
        <v>0</v>
      </c>
      <c r="BH8" s="66">
        <v>-6.3710630291627504E-2</v>
      </c>
      <c r="BI8" s="66">
        <v>-2.42100395108185</v>
      </c>
      <c r="BJ8" s="66">
        <v>0</v>
      </c>
      <c r="BK8" s="66">
        <v>-0.382263781749765</v>
      </c>
      <c r="BL8" s="66">
        <v>-0.25484252116651002</v>
      </c>
      <c r="BM8" s="66">
        <v>0.57339567262464697</v>
      </c>
      <c r="BN8" s="66">
        <v>4.5234547507055503</v>
      </c>
      <c r="BO8" s="66">
        <v>-1.33792323612418</v>
      </c>
      <c r="BP8" s="66">
        <v>-1.4653444967074301</v>
      </c>
      <c r="BQ8" s="66">
        <v>8.8557776105362205</v>
      </c>
      <c r="BR8" s="66">
        <v>4.0137697083725303</v>
      </c>
      <c r="BS8" s="73"/>
      <c r="BT8" s="1"/>
      <c r="BU8" s="1"/>
    </row>
    <row r="9" spans="1:73" ht="15">
      <c r="A9" s="62" t="s">
        <v>228</v>
      </c>
      <c r="B9" s="52" t="s">
        <v>92</v>
      </c>
      <c r="C9" s="63" t="s">
        <v>134</v>
      </c>
      <c r="D9" s="63" t="s">
        <v>227</v>
      </c>
      <c r="E9" s="64"/>
      <c r="F9" s="65" t="s">
        <v>87</v>
      </c>
      <c r="G9" s="66">
        <v>1.4016338664158099</v>
      </c>
      <c r="H9" s="67">
        <v>29994.964741298201</v>
      </c>
      <c r="I9" s="67">
        <v>4036.0684289746</v>
      </c>
      <c r="J9" s="67">
        <v>10129.9902163688</v>
      </c>
      <c r="K9" s="67">
        <v>142.07470555032901</v>
      </c>
      <c r="L9" s="67">
        <v>95948.209219191005</v>
      </c>
      <c r="M9" s="67">
        <v>-45839.798494825998</v>
      </c>
      <c r="N9" s="67">
        <v>2908.3902728128</v>
      </c>
      <c r="O9" s="67">
        <v>243119.76519285099</v>
      </c>
      <c r="P9" s="66">
        <v>3.249242144873</v>
      </c>
      <c r="Q9" s="67">
        <v>127.357549952963</v>
      </c>
      <c r="R9" s="67">
        <v>16.182500094073401</v>
      </c>
      <c r="S9" s="67">
        <v>21.406771777986801</v>
      </c>
      <c r="T9" s="67">
        <v>42.5587010348072</v>
      </c>
      <c r="U9" s="67">
        <v>1588.30601317027</v>
      </c>
      <c r="V9" s="68">
        <v>0.76452756349952999</v>
      </c>
      <c r="W9" s="68">
        <v>10.958228410159901</v>
      </c>
      <c r="X9" s="69">
        <v>5430.6941260583299</v>
      </c>
      <c r="Y9" s="69">
        <v>794.47155973659505</v>
      </c>
      <c r="Z9" s="67">
        <v>1.5927657572906899</v>
      </c>
      <c r="AA9" s="67">
        <v>0.382263781749765</v>
      </c>
      <c r="AB9" s="67">
        <v>7.7726968955785596</v>
      </c>
      <c r="AC9" s="67">
        <v>-4.6508760112888101</v>
      </c>
      <c r="AD9" s="67">
        <v>9.4928839134525003</v>
      </c>
      <c r="AE9" s="70">
        <v>169.72511909689601</v>
      </c>
      <c r="AF9" s="71">
        <v>6.5621949200376299</v>
      </c>
      <c r="AG9" s="71">
        <v>2.99439962370649</v>
      </c>
      <c r="AH9" s="71">
        <v>0</v>
      </c>
      <c r="AI9" s="71">
        <v>30.772234430856098</v>
      </c>
      <c r="AJ9" s="72">
        <v>0.31855315145813801</v>
      </c>
      <c r="AK9" s="72">
        <v>0.63710630291627501</v>
      </c>
      <c r="AL9" s="72">
        <v>0.82823819379115804</v>
      </c>
      <c r="AM9" s="71">
        <v>-1.7838976481655699</v>
      </c>
      <c r="AN9" s="71">
        <v>-0.191131890874883</v>
      </c>
      <c r="AO9" s="71">
        <v>-6.3710630291627504E-2</v>
      </c>
      <c r="AP9" s="71">
        <v>-2.42100395108185</v>
      </c>
      <c r="AQ9" s="71">
        <v>0</v>
      </c>
      <c r="AR9" s="70">
        <v>254.205414863594</v>
      </c>
      <c r="AS9" s="71">
        <v>10.767096519284999</v>
      </c>
      <c r="AT9" s="71">
        <v>17.0744489181562</v>
      </c>
      <c r="AU9" s="71">
        <v>2.0387401693320801</v>
      </c>
      <c r="AV9" s="71">
        <v>6.8170374412041399</v>
      </c>
      <c r="AW9" s="71">
        <v>1.2105019755409201</v>
      </c>
      <c r="AX9" s="71">
        <v>0.63710630291627501</v>
      </c>
      <c r="AY9" s="71">
        <v>1.33792323612418</v>
      </c>
      <c r="AZ9" s="71">
        <v>0.382263781749765</v>
      </c>
      <c r="BA9" s="71">
        <v>1.08308071495767</v>
      </c>
      <c r="BB9" s="66">
        <v>0.382263781749765</v>
      </c>
      <c r="BC9" s="66">
        <v>0.76452756349952999</v>
      </c>
      <c r="BD9" s="66">
        <v>0.31855315145813801</v>
      </c>
      <c r="BE9" s="66">
        <v>0.70081693320790295</v>
      </c>
      <c r="BF9" s="66">
        <v>0.31855315145813801</v>
      </c>
      <c r="BG9" s="66">
        <v>0</v>
      </c>
      <c r="BH9" s="66">
        <v>-6.3710630291627504E-2</v>
      </c>
      <c r="BI9" s="66">
        <v>-2.4847145813734701</v>
      </c>
      <c r="BJ9" s="66">
        <v>0</v>
      </c>
      <c r="BK9" s="66">
        <v>-0.382263781749765</v>
      </c>
      <c r="BL9" s="66">
        <v>-0.25484252116651002</v>
      </c>
      <c r="BM9" s="66">
        <v>0.50968504233302003</v>
      </c>
      <c r="BN9" s="66">
        <v>4.3323228598306702</v>
      </c>
      <c r="BO9" s="66">
        <v>-1.33792323612418</v>
      </c>
      <c r="BP9" s="66">
        <v>-1.4653444967074301</v>
      </c>
      <c r="BQ9" s="66">
        <v>8.4098031984948296</v>
      </c>
      <c r="BR9" s="66">
        <v>3.9500590780809102</v>
      </c>
      <c r="BS9" s="73"/>
      <c r="BT9" s="1"/>
      <c r="BU9" s="1"/>
    </row>
    <row r="10" spans="1:73" ht="15">
      <c r="A10" s="62" t="s">
        <v>229</v>
      </c>
      <c r="B10" s="52" t="s">
        <v>93</v>
      </c>
      <c r="C10" s="63" t="s">
        <v>134</v>
      </c>
      <c r="D10" s="63" t="s">
        <v>227</v>
      </c>
      <c r="E10" s="64"/>
      <c r="F10" s="65" t="s">
        <v>87</v>
      </c>
      <c r="G10" s="66">
        <v>0.842191639072848</v>
      </c>
      <c r="H10" s="67">
        <v>39453.870985099398</v>
      </c>
      <c r="I10" s="67">
        <v>4532.6754014900698</v>
      </c>
      <c r="J10" s="67">
        <v>2693.8903228476802</v>
      </c>
      <c r="K10" s="67">
        <v>112.23607243377501</v>
      </c>
      <c r="L10" s="67">
        <v>53069.302483443702</v>
      </c>
      <c r="M10" s="67">
        <v>-31694.4786837748</v>
      </c>
      <c r="N10" s="67">
        <v>106.78989983443699</v>
      </c>
      <c r="O10" s="67">
        <v>275228.22764900699</v>
      </c>
      <c r="P10" s="66">
        <v>0.78604552980132503</v>
      </c>
      <c r="Q10" s="67">
        <v>139.63537375827801</v>
      </c>
      <c r="R10" s="67">
        <v>20.493329884106</v>
      </c>
      <c r="S10" s="67">
        <v>655.78655629139098</v>
      </c>
      <c r="T10" s="67">
        <v>66.364701158940406</v>
      </c>
      <c r="U10" s="67">
        <v>3379.4343170529801</v>
      </c>
      <c r="V10" s="68">
        <v>9.7694230132450404</v>
      </c>
      <c r="W10" s="68">
        <v>202.35057781456999</v>
      </c>
      <c r="X10" s="69">
        <v>4512.4628021523204</v>
      </c>
      <c r="Y10" s="69">
        <v>10291.5818294702</v>
      </c>
      <c r="Z10" s="67">
        <v>0.22458443708609299</v>
      </c>
      <c r="AA10" s="67">
        <v>0.22458443708609299</v>
      </c>
      <c r="AB10" s="67">
        <v>50.756082781457003</v>
      </c>
      <c r="AC10" s="67">
        <v>-2.6388671357615898</v>
      </c>
      <c r="AD10" s="67">
        <v>0.95448385761589505</v>
      </c>
      <c r="AE10" s="70">
        <v>198.08347350993401</v>
      </c>
      <c r="AF10" s="71">
        <v>4.2109581953642401</v>
      </c>
      <c r="AG10" s="71">
        <v>0.72989942052980195</v>
      </c>
      <c r="AH10" s="71">
        <v>0</v>
      </c>
      <c r="AI10" s="71">
        <v>282.52722185430503</v>
      </c>
      <c r="AJ10" s="72">
        <v>0.16843832781456999</v>
      </c>
      <c r="AK10" s="72">
        <v>1.1790682947019899</v>
      </c>
      <c r="AL10" s="72">
        <v>0.50531498344370895</v>
      </c>
      <c r="AM10" s="71">
        <v>-1.51594495033113</v>
      </c>
      <c r="AN10" s="71">
        <v>-0.16843832781456999</v>
      </c>
      <c r="AO10" s="71">
        <v>0.28073054635761602</v>
      </c>
      <c r="AP10" s="71">
        <v>-2.0212599337748398</v>
      </c>
      <c r="AQ10" s="71">
        <v>-0.112292218543046</v>
      </c>
      <c r="AR10" s="70">
        <v>193.36720033112601</v>
      </c>
      <c r="AS10" s="71">
        <v>5.8953414735099399</v>
      </c>
      <c r="AT10" s="71">
        <v>6.8498253311258299</v>
      </c>
      <c r="AU10" s="71">
        <v>0.89833774834437097</v>
      </c>
      <c r="AV10" s="71">
        <v>2.7511593543046402</v>
      </c>
      <c r="AW10" s="71">
        <v>0.44916887417218598</v>
      </c>
      <c r="AX10" s="71">
        <v>0.28073054635761602</v>
      </c>
      <c r="AY10" s="71">
        <v>0.61760720198675501</v>
      </c>
      <c r="AZ10" s="71">
        <v>0.22458443708609299</v>
      </c>
      <c r="BA10" s="71">
        <v>0.39302276490066201</v>
      </c>
      <c r="BB10" s="66">
        <v>0.22458443708609299</v>
      </c>
      <c r="BC10" s="66">
        <v>0.33687665562913899</v>
      </c>
      <c r="BD10" s="66">
        <v>0.16843832781456999</v>
      </c>
      <c r="BE10" s="66">
        <v>0.33687665562913899</v>
      </c>
      <c r="BF10" s="66">
        <v>0.16843832781456999</v>
      </c>
      <c r="BG10" s="66">
        <v>-5.6146109271523199E-2</v>
      </c>
      <c r="BH10" s="66">
        <v>-0.112292218543046</v>
      </c>
      <c r="BI10" s="66">
        <v>-2.47042880794702</v>
      </c>
      <c r="BJ10" s="66">
        <v>1.23521440397351</v>
      </c>
      <c r="BK10" s="66">
        <v>-0.33687665562913899</v>
      </c>
      <c r="BL10" s="66">
        <v>-0.16843832781456999</v>
      </c>
      <c r="BM10" s="66">
        <v>1.1790682947019899</v>
      </c>
      <c r="BN10" s="66">
        <v>3.5933509933774799</v>
      </c>
      <c r="BO10" s="66">
        <v>-1.1790682947019899</v>
      </c>
      <c r="BP10" s="66">
        <v>-1.2913605132450301</v>
      </c>
      <c r="BQ10" s="66">
        <v>4.3232504139072896</v>
      </c>
      <c r="BR10" s="66">
        <v>2.91959768211921</v>
      </c>
      <c r="BS10" s="73"/>
      <c r="BT10" s="1"/>
      <c r="BU10" s="1"/>
    </row>
    <row r="11" spans="1:73" ht="15">
      <c r="A11" s="62" t="s">
        <v>229</v>
      </c>
      <c r="B11" s="52" t="s">
        <v>93</v>
      </c>
      <c r="C11" s="63" t="s">
        <v>134</v>
      </c>
      <c r="D11" s="63" t="s">
        <v>227</v>
      </c>
      <c r="E11" s="64"/>
      <c r="F11" s="65" t="s">
        <v>87</v>
      </c>
      <c r="G11" s="66">
        <v>0.95448385761589505</v>
      </c>
      <c r="H11" s="67">
        <v>40105.165852648999</v>
      </c>
      <c r="I11" s="67">
        <v>4509.0940355960302</v>
      </c>
      <c r="J11" s="67">
        <v>2582.15956539735</v>
      </c>
      <c r="K11" s="67">
        <v>173.21074710264901</v>
      </c>
      <c r="L11" s="67">
        <v>55764.315728476802</v>
      </c>
      <c r="M11" s="67">
        <v>-27371.228269867599</v>
      </c>
      <c r="N11" s="67">
        <v>165.06956125827799</v>
      </c>
      <c r="O11" s="67">
        <v>282639.51407284802</v>
      </c>
      <c r="P11" s="66">
        <v>1.85282160596027</v>
      </c>
      <c r="Q11" s="67">
        <v>155.861599337748</v>
      </c>
      <c r="R11" s="67">
        <v>19.4826999172186</v>
      </c>
      <c r="S11" s="67">
        <v>645.68025662251705</v>
      </c>
      <c r="T11" s="67">
        <v>67.150746688741805</v>
      </c>
      <c r="U11" s="67">
        <v>3381.6801614238402</v>
      </c>
      <c r="V11" s="68">
        <v>9.7132769039735098</v>
      </c>
      <c r="W11" s="68">
        <v>200.048587334437</v>
      </c>
      <c r="X11" s="69">
        <v>4577.0308278145703</v>
      </c>
      <c r="Y11" s="69">
        <v>10403.8740480133</v>
      </c>
      <c r="Z11" s="67">
        <v>0.28073054635761602</v>
      </c>
      <c r="AA11" s="67">
        <v>0.33687665562913899</v>
      </c>
      <c r="AB11" s="67">
        <v>57.549762003311301</v>
      </c>
      <c r="AC11" s="67">
        <v>-1.6843832781457</v>
      </c>
      <c r="AD11" s="67">
        <v>0.89833774834437097</v>
      </c>
      <c r="AE11" s="70">
        <v>199.82400289735099</v>
      </c>
      <c r="AF11" s="71">
        <v>4.4355426324503302</v>
      </c>
      <c r="AG11" s="71">
        <v>0.61760720198675501</v>
      </c>
      <c r="AH11" s="71">
        <v>0</v>
      </c>
      <c r="AI11" s="71">
        <v>300.886999586093</v>
      </c>
      <c r="AJ11" s="72">
        <v>0.16843832781456999</v>
      </c>
      <c r="AK11" s="72">
        <v>1.40365273178808</v>
      </c>
      <c r="AL11" s="72">
        <v>0.44916887417218598</v>
      </c>
      <c r="AM11" s="71">
        <v>-1.51594495033113</v>
      </c>
      <c r="AN11" s="71">
        <v>-0.22458443708609299</v>
      </c>
      <c r="AO11" s="71">
        <v>0.28073054635761602</v>
      </c>
      <c r="AP11" s="71">
        <v>-2.13355215231788</v>
      </c>
      <c r="AQ11" s="71">
        <v>-0.112292218543046</v>
      </c>
      <c r="AR11" s="70">
        <v>191.51437872516601</v>
      </c>
      <c r="AS11" s="71">
        <v>5.7830492549668904</v>
      </c>
      <c r="AT11" s="71">
        <v>7.07440976821192</v>
      </c>
      <c r="AU11" s="71">
        <v>0.842191639072848</v>
      </c>
      <c r="AV11" s="71">
        <v>2.6388671357615898</v>
      </c>
      <c r="AW11" s="71">
        <v>0.44916887417218598</v>
      </c>
      <c r="AX11" s="71">
        <v>0.22458443708609299</v>
      </c>
      <c r="AY11" s="71">
        <v>0.61760720198675501</v>
      </c>
      <c r="AZ11" s="71">
        <v>0.16843832781456999</v>
      </c>
      <c r="BA11" s="71">
        <v>0.44916887417218598</v>
      </c>
      <c r="BB11" s="66">
        <v>0.22458443708609299</v>
      </c>
      <c r="BC11" s="66">
        <v>0.33687665562913899</v>
      </c>
      <c r="BD11" s="66">
        <v>0.16843832781456999</v>
      </c>
      <c r="BE11" s="66">
        <v>0.28073054635761602</v>
      </c>
      <c r="BF11" s="66">
        <v>0.112292218543046</v>
      </c>
      <c r="BG11" s="66">
        <v>-5.6146109271523199E-2</v>
      </c>
      <c r="BH11" s="66">
        <v>-0.112292218543046</v>
      </c>
      <c r="BI11" s="66">
        <v>-2.4142826986755002</v>
      </c>
      <c r="BJ11" s="66">
        <v>1.23521440397351</v>
      </c>
      <c r="BK11" s="66">
        <v>-0.33687665562913899</v>
      </c>
      <c r="BL11" s="66">
        <v>-0.22458443708609299</v>
      </c>
      <c r="BM11" s="66">
        <v>1.1229221854304601</v>
      </c>
      <c r="BN11" s="66">
        <v>3.4810587748344402</v>
      </c>
      <c r="BO11" s="66">
        <v>-1.1790682947019899</v>
      </c>
      <c r="BP11" s="66">
        <v>-1.2913605132450301</v>
      </c>
      <c r="BQ11" s="66">
        <v>4.1548120860927202</v>
      </c>
      <c r="BR11" s="66">
        <v>2.8634515728476799</v>
      </c>
      <c r="BS11" s="73"/>
      <c r="BT11" s="1"/>
      <c r="BU11" s="1"/>
    </row>
    <row r="12" spans="1:73" ht="15">
      <c r="A12" s="62" t="s">
        <v>229</v>
      </c>
      <c r="B12" s="52" t="s">
        <v>93</v>
      </c>
      <c r="C12" s="63" t="s">
        <v>134</v>
      </c>
      <c r="D12" s="63" t="s">
        <v>227</v>
      </c>
      <c r="E12" s="64"/>
      <c r="F12" s="65" t="s">
        <v>87</v>
      </c>
      <c r="G12" s="66">
        <v>1.1790682947019899</v>
      </c>
      <c r="H12" s="67">
        <v>39189.984271523201</v>
      </c>
      <c r="I12" s="67">
        <v>4450.7020819536401</v>
      </c>
      <c r="J12" s="67">
        <v>2556.3323551324502</v>
      </c>
      <c r="K12" s="67">
        <v>143.06028642384101</v>
      </c>
      <c r="L12" s="67">
        <v>51238.939321192098</v>
      </c>
      <c r="M12" s="67">
        <v>-30189.762955298</v>
      </c>
      <c r="N12" s="67">
        <v>138.90547433774799</v>
      </c>
      <c r="O12" s="67">
        <v>277923.24089403998</v>
      </c>
      <c r="P12" s="66">
        <v>1.2913605132450301</v>
      </c>
      <c r="Q12" s="67">
        <v>160.184849751656</v>
      </c>
      <c r="R12" s="67">
        <v>19.426553807946998</v>
      </c>
      <c r="S12" s="67">
        <v>651.29486754966899</v>
      </c>
      <c r="T12" s="67">
        <v>66.926162251655697</v>
      </c>
      <c r="U12" s="67">
        <v>3378.31139486755</v>
      </c>
      <c r="V12" s="68">
        <v>9.8817152317880907</v>
      </c>
      <c r="W12" s="68">
        <v>199.094103476821</v>
      </c>
      <c r="X12" s="69">
        <v>4513.0242632450399</v>
      </c>
      <c r="Y12" s="69">
        <v>10280.3526076159</v>
      </c>
      <c r="Z12" s="67">
        <v>0.50531498344370895</v>
      </c>
      <c r="AA12" s="67">
        <v>0.56146109271523204</v>
      </c>
      <c r="AB12" s="67">
        <v>58.672684188741698</v>
      </c>
      <c r="AC12" s="67">
        <v>-2.58272102649007</v>
      </c>
      <c r="AD12" s="67">
        <v>0.842191639072848</v>
      </c>
      <c r="AE12" s="70">
        <v>197.915035182119</v>
      </c>
      <c r="AF12" s="71">
        <v>4.3232504139072896</v>
      </c>
      <c r="AG12" s="71">
        <v>0.61760720198675501</v>
      </c>
      <c r="AH12" s="71">
        <v>0</v>
      </c>
      <c r="AI12" s="71">
        <v>299.48334685430501</v>
      </c>
      <c r="AJ12" s="72">
        <v>0.16843832781456999</v>
      </c>
      <c r="AK12" s="72">
        <v>1.51594495033113</v>
      </c>
      <c r="AL12" s="72">
        <v>0.61760720198675501</v>
      </c>
      <c r="AM12" s="71">
        <v>-1.51594495033113</v>
      </c>
      <c r="AN12" s="71">
        <v>-0.22458443708609299</v>
      </c>
      <c r="AO12" s="71">
        <v>0.39302276490066201</v>
      </c>
      <c r="AP12" s="71">
        <v>-2.0212599337748398</v>
      </c>
      <c r="AQ12" s="71">
        <v>-0.112292218543046</v>
      </c>
      <c r="AR12" s="70">
        <v>189.99843377483501</v>
      </c>
      <c r="AS12" s="71">
        <v>5.9514875827814597</v>
      </c>
      <c r="AT12" s="71">
        <v>6.9621175496688803</v>
      </c>
      <c r="AU12" s="71">
        <v>0.842191639072848</v>
      </c>
      <c r="AV12" s="71">
        <v>2.7511593543046402</v>
      </c>
      <c r="AW12" s="71">
        <v>0.50531498344370895</v>
      </c>
      <c r="AX12" s="71">
        <v>0.22458443708609299</v>
      </c>
      <c r="AY12" s="71">
        <v>0.67375331125827798</v>
      </c>
      <c r="AZ12" s="71">
        <v>0.22458443708609299</v>
      </c>
      <c r="BA12" s="71">
        <v>0.50531498344370895</v>
      </c>
      <c r="BB12" s="66">
        <v>0.22458443708609299</v>
      </c>
      <c r="BC12" s="66">
        <v>0.39302276490066201</v>
      </c>
      <c r="BD12" s="66">
        <v>0.16843832781456999</v>
      </c>
      <c r="BE12" s="66">
        <v>0.28073054635761602</v>
      </c>
      <c r="BF12" s="66">
        <v>0.16843832781456999</v>
      </c>
      <c r="BG12" s="66">
        <v>-5.6146109271523199E-2</v>
      </c>
      <c r="BH12" s="66">
        <v>-0.112292218543046</v>
      </c>
      <c r="BI12" s="66">
        <v>-2.4142826986755002</v>
      </c>
      <c r="BJ12" s="66">
        <v>1.23521440397351</v>
      </c>
      <c r="BK12" s="66">
        <v>-0.33687665562913899</v>
      </c>
      <c r="BL12" s="66">
        <v>-0.22458443708609299</v>
      </c>
      <c r="BM12" s="66">
        <v>1.3475066225165599</v>
      </c>
      <c r="BN12" s="66">
        <v>3.3687665562913902</v>
      </c>
      <c r="BO12" s="66">
        <v>-1.1790682947019899</v>
      </c>
      <c r="BP12" s="66">
        <v>-1.2913605132450301</v>
      </c>
      <c r="BQ12" s="66">
        <v>3.7617893211920501</v>
      </c>
      <c r="BR12" s="66">
        <v>2.8073054635761601</v>
      </c>
      <c r="BS12" s="73"/>
      <c r="BT12" s="1"/>
      <c r="BU12" s="1"/>
    </row>
    <row r="13" spans="1:73" ht="15">
      <c r="A13" s="62" t="s">
        <v>230</v>
      </c>
      <c r="B13" s="52" t="s">
        <v>95</v>
      </c>
      <c r="C13" s="63" t="s">
        <v>134</v>
      </c>
      <c r="D13" s="63" t="s">
        <v>227</v>
      </c>
      <c r="E13" s="64"/>
      <c r="F13" s="67" t="s">
        <v>87</v>
      </c>
      <c r="G13" s="66">
        <v>1.5898021962937501</v>
      </c>
      <c r="H13" s="67">
        <v>313097.51489361702</v>
      </c>
      <c r="I13" s="67">
        <v>318.84885813314997</v>
      </c>
      <c r="J13" s="67">
        <v>750.48015442690496</v>
      </c>
      <c r="K13" s="67">
        <v>76.544299862731705</v>
      </c>
      <c r="L13" s="67">
        <v>121339.314687715</v>
      </c>
      <c r="M13" s="67">
        <v>59711.100137268397</v>
      </c>
      <c r="N13" s="67">
        <v>1906.35986890872</v>
      </c>
      <c r="O13" s="67">
        <v>9225.5286273164093</v>
      </c>
      <c r="P13" s="66">
        <v>0.70138332189430297</v>
      </c>
      <c r="Q13" s="67">
        <v>21.1350174330817</v>
      </c>
      <c r="R13" s="67">
        <v>19.6387330130405</v>
      </c>
      <c r="S13" s="67">
        <v>20.667428551818801</v>
      </c>
      <c r="T13" s="67">
        <v>6.8735565545641704</v>
      </c>
      <c r="U13" s="67">
        <v>610.67107892930699</v>
      </c>
      <c r="V13" s="68">
        <v>2.9458099519560701</v>
      </c>
      <c r="W13" s="68">
        <v>9.3517776252573803</v>
      </c>
      <c r="X13" s="69">
        <v>118.20646918325301</v>
      </c>
      <c r="Y13" s="69">
        <v>22673.384852436498</v>
      </c>
      <c r="Z13" s="67">
        <v>4.6758888126286903E-2</v>
      </c>
      <c r="AA13" s="67">
        <v>4.6758888126286903E-2</v>
      </c>
      <c r="AB13" s="67">
        <v>31.421972820864799</v>
      </c>
      <c r="AC13" s="67">
        <v>-2.57173884694578</v>
      </c>
      <c r="AD13" s="67">
        <v>2.1976677419354802</v>
      </c>
      <c r="AE13" s="70">
        <v>131.20544008236101</v>
      </c>
      <c r="AF13" s="71">
        <v>0.79490109814687704</v>
      </c>
      <c r="AG13" s="71">
        <v>-4.6758888126286903E-2</v>
      </c>
      <c r="AH13" s="71">
        <v>0</v>
      </c>
      <c r="AI13" s="71">
        <v>27.073396225120099</v>
      </c>
      <c r="AJ13" s="72">
        <v>9.3517776252573806E-2</v>
      </c>
      <c r="AK13" s="72">
        <v>9.3517776252573806E-2</v>
      </c>
      <c r="AL13" s="72">
        <v>0.42082999313658198</v>
      </c>
      <c r="AM13" s="71">
        <v>-1.3092488675360301</v>
      </c>
      <c r="AN13" s="71">
        <v>-0.14027666437886099</v>
      </c>
      <c r="AO13" s="71">
        <v>0</v>
      </c>
      <c r="AP13" s="71">
        <v>-1.63656108442004</v>
      </c>
      <c r="AQ13" s="71">
        <v>-4.6758888126286903E-2</v>
      </c>
      <c r="AR13" s="70">
        <v>27.307190665751602</v>
      </c>
      <c r="AS13" s="71">
        <v>3.3198810569663699</v>
      </c>
      <c r="AT13" s="71">
        <v>2.1976677419354802</v>
      </c>
      <c r="AU13" s="71">
        <v>0.23379444063143501</v>
      </c>
      <c r="AV13" s="71">
        <v>0.60786554564173001</v>
      </c>
      <c r="AW13" s="71">
        <v>0.23379444063143501</v>
      </c>
      <c r="AX13" s="71">
        <v>9.3517776252573806E-2</v>
      </c>
      <c r="AY13" s="71">
        <v>0.14027666437886099</v>
      </c>
      <c r="AZ13" s="71">
        <v>9.3517776252573806E-2</v>
      </c>
      <c r="BA13" s="71">
        <v>0.187035552505148</v>
      </c>
      <c r="BB13" s="66">
        <v>9.3517776252573806E-2</v>
      </c>
      <c r="BC13" s="66">
        <v>0.14027666437886099</v>
      </c>
      <c r="BD13" s="66">
        <v>9.3517776252573806E-2</v>
      </c>
      <c r="BE13" s="66">
        <v>9.3517776252573806E-2</v>
      </c>
      <c r="BF13" s="66">
        <v>9.3517776252573806E-2</v>
      </c>
      <c r="BG13" s="66">
        <v>-4.6758888126286903E-2</v>
      </c>
      <c r="BH13" s="66">
        <v>-9.3517776252573806E-2</v>
      </c>
      <c r="BI13" s="66">
        <v>-2.9458099519560701</v>
      </c>
      <c r="BJ13" s="66">
        <v>0</v>
      </c>
      <c r="BK13" s="66">
        <v>-0.28055332875772099</v>
      </c>
      <c r="BL13" s="66">
        <v>-0.187035552505148</v>
      </c>
      <c r="BM13" s="66">
        <v>0.28055332875772099</v>
      </c>
      <c r="BN13" s="66">
        <v>2.1509088538092</v>
      </c>
      <c r="BO13" s="66">
        <v>-0.98193665065202496</v>
      </c>
      <c r="BP13" s="66">
        <v>-1.1222133150308899</v>
      </c>
      <c r="BQ13" s="66">
        <v>2.61849773507207</v>
      </c>
      <c r="BR13" s="66">
        <v>1.35600775566232</v>
      </c>
      <c r="BS13" s="73"/>
      <c r="BT13" s="1"/>
      <c r="BU13" s="1"/>
    </row>
    <row r="14" spans="1:73" ht="15">
      <c r="A14" s="62" t="s">
        <v>230</v>
      </c>
      <c r="B14" s="52" t="s">
        <v>95</v>
      </c>
      <c r="C14" s="63" t="s">
        <v>134</v>
      </c>
      <c r="D14" s="63" t="s">
        <v>227</v>
      </c>
      <c r="E14" s="64"/>
      <c r="F14" s="67" t="s">
        <v>87</v>
      </c>
      <c r="G14" s="66">
        <v>1.7768377487989</v>
      </c>
      <c r="H14" s="67">
        <v>310759.57048730302</v>
      </c>
      <c r="I14" s="67">
        <v>305.66285168153701</v>
      </c>
      <c r="J14" s="67">
        <v>767.78094303363105</v>
      </c>
      <c r="K14" s="67">
        <v>51.902365820178503</v>
      </c>
      <c r="L14" s="67">
        <v>125594.373507207</v>
      </c>
      <c r="M14" s="67">
        <v>62469.874536719297</v>
      </c>
      <c r="N14" s="67">
        <v>1923.19306863418</v>
      </c>
      <c r="O14" s="67">
        <v>8982.38240905971</v>
      </c>
      <c r="P14" s="66">
        <v>0.42082999313658198</v>
      </c>
      <c r="Q14" s="67">
        <v>19.030867467398799</v>
      </c>
      <c r="R14" s="67">
        <v>18.984108579272501</v>
      </c>
      <c r="S14" s="67">
        <v>20.153080782429701</v>
      </c>
      <c r="T14" s="67">
        <v>6.6397621139327399</v>
      </c>
      <c r="U14" s="67">
        <v>613.47661221688395</v>
      </c>
      <c r="V14" s="68">
        <v>2.7587743994509299</v>
      </c>
      <c r="W14" s="68">
        <v>9.7258487302676802</v>
      </c>
      <c r="X14" s="69">
        <v>116.05556032944401</v>
      </c>
      <c r="Y14" s="69">
        <v>22430.238634179801</v>
      </c>
      <c r="Z14" s="67">
        <v>0.14027666437886099</v>
      </c>
      <c r="AA14" s="67">
        <v>0</v>
      </c>
      <c r="AB14" s="67">
        <v>28.896992862045298</v>
      </c>
      <c r="AC14" s="67">
        <v>-1.8703555250514801</v>
      </c>
      <c r="AD14" s="67">
        <v>2.0573910775566202</v>
      </c>
      <c r="AE14" s="70">
        <v>129.381843445436</v>
      </c>
      <c r="AF14" s="71">
        <v>0.888418874399451</v>
      </c>
      <c r="AG14" s="71">
        <v>0</v>
      </c>
      <c r="AH14" s="71">
        <v>0</v>
      </c>
      <c r="AI14" s="71">
        <v>26.6058073438573</v>
      </c>
      <c r="AJ14" s="72">
        <v>9.3517776252573806E-2</v>
      </c>
      <c r="AK14" s="72">
        <v>0.28055332875772099</v>
      </c>
      <c r="AL14" s="72">
        <v>0.32731221688400802</v>
      </c>
      <c r="AM14" s="71">
        <v>-1.3092488675360301</v>
      </c>
      <c r="AN14" s="71">
        <v>-0.14027666437886099</v>
      </c>
      <c r="AO14" s="71">
        <v>0</v>
      </c>
      <c r="AP14" s="71">
        <v>-1.63656108442004</v>
      </c>
      <c r="AQ14" s="71">
        <v>-4.6758888126286903E-2</v>
      </c>
      <c r="AR14" s="70">
        <v>27.1669140013727</v>
      </c>
      <c r="AS14" s="71">
        <v>3.4601577213452299</v>
      </c>
      <c r="AT14" s="71">
        <v>2.1509088538092</v>
      </c>
      <c r="AU14" s="71">
        <v>0.187035552505148</v>
      </c>
      <c r="AV14" s="71">
        <v>0.74814221002059</v>
      </c>
      <c r="AW14" s="71">
        <v>0.14027666437886099</v>
      </c>
      <c r="AX14" s="71">
        <v>4.6758888126286903E-2</v>
      </c>
      <c r="AY14" s="71">
        <v>9.3517776252573806E-2</v>
      </c>
      <c r="AZ14" s="71">
        <v>9.3517776252573806E-2</v>
      </c>
      <c r="BA14" s="71">
        <v>0.14027666437886099</v>
      </c>
      <c r="BB14" s="66">
        <v>9.3517776252573806E-2</v>
      </c>
      <c r="BC14" s="66">
        <v>0.14027666437886099</v>
      </c>
      <c r="BD14" s="66">
        <v>9.3517776252573806E-2</v>
      </c>
      <c r="BE14" s="66">
        <v>9.3517776252573806E-2</v>
      </c>
      <c r="BF14" s="66">
        <v>9.3517776252573806E-2</v>
      </c>
      <c r="BG14" s="66">
        <v>-9.3517776252573806E-2</v>
      </c>
      <c r="BH14" s="66">
        <v>-9.3517776252573806E-2</v>
      </c>
      <c r="BI14" s="66">
        <v>-2.8522921757035</v>
      </c>
      <c r="BJ14" s="66">
        <v>0</v>
      </c>
      <c r="BK14" s="66">
        <v>-0.28055332875772099</v>
      </c>
      <c r="BL14" s="66">
        <v>-0.187035552505148</v>
      </c>
      <c r="BM14" s="66">
        <v>0.70138332189430297</v>
      </c>
      <c r="BN14" s="66">
        <v>2.0573910775566202</v>
      </c>
      <c r="BO14" s="66">
        <v>-0.98193665065202496</v>
      </c>
      <c r="BP14" s="66">
        <v>-1.1222133150308899</v>
      </c>
      <c r="BQ14" s="66">
        <v>2.3847032944406301</v>
      </c>
      <c r="BR14" s="66">
        <v>1.3092488675360301</v>
      </c>
      <c r="BS14" s="73"/>
      <c r="BT14" s="1"/>
      <c r="BU14" s="1"/>
    </row>
    <row r="15" spans="1:73" ht="15">
      <c r="A15" s="62" t="s">
        <v>230</v>
      </c>
      <c r="B15" s="52" t="s">
        <v>95</v>
      </c>
      <c r="C15" s="63" t="s">
        <v>134</v>
      </c>
      <c r="D15" s="63" t="s">
        <v>227</v>
      </c>
      <c r="E15" s="64"/>
      <c r="F15" s="67" t="s">
        <v>87</v>
      </c>
      <c r="G15" s="66">
        <v>0.84165998627316396</v>
      </c>
      <c r="H15" s="67">
        <v>301267.516197666</v>
      </c>
      <c r="I15" s="67">
        <v>304.07304948524398</v>
      </c>
      <c r="J15" s="67">
        <v>797.23904255319201</v>
      </c>
      <c r="K15" s="67">
        <v>81.033153122855197</v>
      </c>
      <c r="L15" s="67">
        <v>118720.816952642</v>
      </c>
      <c r="M15" s="67">
        <v>58355.092381606097</v>
      </c>
      <c r="N15" s="67">
        <v>1925.06342415923</v>
      </c>
      <c r="O15" s="67">
        <v>8898.2164104324002</v>
      </c>
      <c r="P15" s="66">
        <v>0.51434776938915605</v>
      </c>
      <c r="Q15" s="67">
        <v>23.0521318462594</v>
      </c>
      <c r="R15" s="67">
        <v>19.1243852436513</v>
      </c>
      <c r="S15" s="67">
        <v>20.012804118050799</v>
      </c>
      <c r="T15" s="67">
        <v>6.8735565545641704</v>
      </c>
      <c r="U15" s="67">
        <v>607.86554564173002</v>
      </c>
      <c r="V15" s="68">
        <v>2.8055332875772101</v>
      </c>
      <c r="W15" s="68">
        <v>9.3985365133836698</v>
      </c>
      <c r="X15" s="69">
        <v>120.076824708305</v>
      </c>
      <c r="Y15" s="69">
        <v>22659.3571859986</v>
      </c>
      <c r="Z15" s="67">
        <v>4.6758888126286903E-2</v>
      </c>
      <c r="AA15" s="67">
        <v>4.6758888126286903E-2</v>
      </c>
      <c r="AB15" s="67">
        <v>30.580312834591599</v>
      </c>
      <c r="AC15" s="67">
        <v>-1.1222133150308899</v>
      </c>
      <c r="AD15" s="67">
        <v>1.9638733013040499</v>
      </c>
      <c r="AE15" s="70">
        <v>128.82073678792</v>
      </c>
      <c r="AF15" s="71">
        <v>0.65462443376801704</v>
      </c>
      <c r="AG15" s="71">
        <v>3.5536754975978</v>
      </c>
      <c r="AH15" s="71">
        <v>0</v>
      </c>
      <c r="AI15" s="71">
        <v>26.044700686341798</v>
      </c>
      <c r="AJ15" s="72">
        <v>4.6758888126286903E-2</v>
      </c>
      <c r="AK15" s="72">
        <v>9.3517776252573806E-2</v>
      </c>
      <c r="AL15" s="72">
        <v>0.32731221688400802</v>
      </c>
      <c r="AM15" s="71">
        <v>-1.3092488675360301</v>
      </c>
      <c r="AN15" s="71">
        <v>-0.14027666437886099</v>
      </c>
      <c r="AO15" s="71">
        <v>-4.6758888126286903E-2</v>
      </c>
      <c r="AP15" s="71">
        <v>-1.63656108442004</v>
      </c>
      <c r="AQ15" s="71">
        <v>-4.6758888126286903E-2</v>
      </c>
      <c r="AR15" s="70">
        <v>28.335886204529899</v>
      </c>
      <c r="AS15" s="71">
        <v>3.3198810569663699</v>
      </c>
      <c r="AT15" s="71">
        <v>2.2444266300617701</v>
      </c>
      <c r="AU15" s="71">
        <v>0.23379444063143501</v>
      </c>
      <c r="AV15" s="71">
        <v>0.65462443376801704</v>
      </c>
      <c r="AW15" s="71">
        <v>9.3517776252573806E-2</v>
      </c>
      <c r="AX15" s="71">
        <v>4.6758888126286903E-2</v>
      </c>
      <c r="AY15" s="71">
        <v>0.14027666437886099</v>
      </c>
      <c r="AZ15" s="71">
        <v>9.3517776252573806E-2</v>
      </c>
      <c r="BA15" s="71">
        <v>0.14027666437886099</v>
      </c>
      <c r="BB15" s="66">
        <v>9.3517776252573806E-2</v>
      </c>
      <c r="BC15" s="66">
        <v>0.14027666437886099</v>
      </c>
      <c r="BD15" s="66">
        <v>4.6758888126286903E-2</v>
      </c>
      <c r="BE15" s="66">
        <v>9.3517776252573806E-2</v>
      </c>
      <c r="BF15" s="66">
        <v>4.6758888126286903E-2</v>
      </c>
      <c r="BG15" s="66">
        <v>-4.6758888126286903E-2</v>
      </c>
      <c r="BH15" s="66">
        <v>-9.3517776252573806E-2</v>
      </c>
      <c r="BI15" s="66">
        <v>-2.9458099519560701</v>
      </c>
      <c r="BJ15" s="66">
        <v>0</v>
      </c>
      <c r="BK15" s="66">
        <v>-0.28055332875772099</v>
      </c>
      <c r="BL15" s="66">
        <v>-0.187035552505148</v>
      </c>
      <c r="BM15" s="66">
        <v>0.187035552505148</v>
      </c>
      <c r="BN15" s="66">
        <v>1.7768377487989</v>
      </c>
      <c r="BO15" s="66">
        <v>-0.98193665065202496</v>
      </c>
      <c r="BP15" s="66">
        <v>-1.1222133150308899</v>
      </c>
      <c r="BQ15" s="66">
        <v>2.0106321894303401</v>
      </c>
      <c r="BR15" s="66">
        <v>1.3092488675360301</v>
      </c>
      <c r="BS15" s="73"/>
      <c r="BT15" s="1"/>
      <c r="BU15" s="1"/>
    </row>
    <row r="16" spans="1:73" ht="15">
      <c r="A16" s="62" t="s">
        <v>231</v>
      </c>
      <c r="B16" s="74" t="s">
        <v>154</v>
      </c>
      <c r="C16" s="63" t="s">
        <v>134</v>
      </c>
      <c r="D16" s="63" t="s">
        <v>227</v>
      </c>
      <c r="E16" s="64"/>
      <c r="F16" s="67" t="s">
        <v>87</v>
      </c>
      <c r="G16" s="66">
        <v>1.1760160305343501</v>
      </c>
      <c r="H16" s="67">
        <v>376.15712748091602</v>
      </c>
      <c r="I16" s="67">
        <v>19885.871068702301</v>
      </c>
      <c r="J16" s="67">
        <v>8831.3203816793903</v>
      </c>
      <c r="K16" s="67">
        <v>58.856802290076303</v>
      </c>
      <c r="L16" s="67">
        <v>2355.9521145038202</v>
      </c>
      <c r="M16" s="67">
        <v>-52047.109465648799</v>
      </c>
      <c r="N16" s="67">
        <v>24.528334351144998</v>
      </c>
      <c r="O16" s="67">
        <v>21969.0994656488</v>
      </c>
      <c r="P16" s="66">
        <v>33.544457251908398</v>
      </c>
      <c r="Q16" s="67">
        <v>70000.954198473293</v>
      </c>
      <c r="R16" s="67">
        <v>619.36844274809096</v>
      </c>
      <c r="S16" s="67">
        <v>285.99589847328201</v>
      </c>
      <c r="T16" s="67">
        <v>3190.3634885496199</v>
      </c>
      <c r="U16" s="67">
        <v>301676.11221374001</v>
      </c>
      <c r="V16" s="68">
        <v>120.849647328244</v>
      </c>
      <c r="W16" s="68">
        <v>178.978439694656</v>
      </c>
      <c r="X16" s="69">
        <v>-195.498664885496</v>
      </c>
      <c r="Y16" s="69">
        <v>272.555715267175</v>
      </c>
      <c r="Z16" s="67">
        <v>60.200820610687003</v>
      </c>
      <c r="AA16" s="67">
        <v>47.208643511450397</v>
      </c>
      <c r="AB16" s="67">
        <v>9.1281244274809108</v>
      </c>
      <c r="AC16" s="67">
        <v>16.1282198473282</v>
      </c>
      <c r="AD16" s="67">
        <v>1.51202061068702</v>
      </c>
      <c r="AE16" s="70">
        <v>167.55428396946601</v>
      </c>
      <c r="AF16" s="71">
        <v>89.657222137404602</v>
      </c>
      <c r="AG16" s="71">
        <v>10.9761496183206</v>
      </c>
      <c r="AH16" s="71">
        <v>0</v>
      </c>
      <c r="AI16" s="71">
        <v>3.0240412213740502</v>
      </c>
      <c r="AJ16" s="72">
        <v>0.112001526717557</v>
      </c>
      <c r="AK16" s="72">
        <v>0.16800229007633599</v>
      </c>
      <c r="AL16" s="72">
        <v>0.39200534351145</v>
      </c>
      <c r="AM16" s="71">
        <v>-1.5680213740458</v>
      </c>
      <c r="AN16" s="71">
        <v>-0.112001526717557</v>
      </c>
      <c r="AO16" s="71">
        <v>-0.112001526717557</v>
      </c>
      <c r="AP16" s="71">
        <v>-2.1280290076335899</v>
      </c>
      <c r="AQ16" s="71">
        <v>-5.6000763358778599E-2</v>
      </c>
      <c r="AR16" s="70">
        <v>294.28401145038202</v>
      </c>
      <c r="AS16" s="71">
        <v>1050.5743206106899</v>
      </c>
      <c r="AT16" s="71">
        <v>2543.5546717557199</v>
      </c>
      <c r="AU16" s="71">
        <v>299.88408778625899</v>
      </c>
      <c r="AV16" s="71">
        <v>1117.7752366412201</v>
      </c>
      <c r="AW16" s="71">
        <v>170.802328244275</v>
      </c>
      <c r="AX16" s="71">
        <v>42.672581679389303</v>
      </c>
      <c r="AY16" s="71">
        <v>107.521465648855</v>
      </c>
      <c r="AZ16" s="71">
        <v>10.9761496183206</v>
      </c>
      <c r="BA16" s="71">
        <v>43.624594656488497</v>
      </c>
      <c r="BB16" s="66">
        <v>5.7680786259541996</v>
      </c>
      <c r="BC16" s="66">
        <v>10.640145038167899</v>
      </c>
      <c r="BD16" s="66">
        <v>0.95201297709923605</v>
      </c>
      <c r="BE16" s="66">
        <v>3.5840488549618299</v>
      </c>
      <c r="BF16" s="66">
        <v>0.44800610687022902</v>
      </c>
      <c r="BG16" s="66">
        <v>0.39200534351145</v>
      </c>
      <c r="BH16" s="66">
        <v>6.1040832061068704</v>
      </c>
      <c r="BI16" s="66">
        <v>-3.9200534351145002</v>
      </c>
      <c r="BJ16" s="66">
        <v>0</v>
      </c>
      <c r="BK16" s="66">
        <v>-0.33600458015267198</v>
      </c>
      <c r="BL16" s="66">
        <v>-0.22400305343511401</v>
      </c>
      <c r="BM16" s="66">
        <v>0.112001526717557</v>
      </c>
      <c r="BN16" s="66">
        <v>2.52003435114504</v>
      </c>
      <c r="BO16" s="66">
        <v>-1.2320167938931299</v>
      </c>
      <c r="BP16" s="66">
        <v>-1.2880175572519099</v>
      </c>
      <c r="BQ16" s="66">
        <v>179.65044885496201</v>
      </c>
      <c r="BR16" s="66">
        <v>25.648349618320601</v>
      </c>
      <c r="BS16" s="73"/>
      <c r="BT16" s="1"/>
      <c r="BU16" s="1"/>
    </row>
    <row r="17" spans="1:71" ht="15">
      <c r="A17" s="62" t="s">
        <v>231</v>
      </c>
      <c r="B17" s="74" t="s">
        <v>154</v>
      </c>
      <c r="C17" s="63" t="s">
        <v>134</v>
      </c>
      <c r="D17" s="63" t="s">
        <v>227</v>
      </c>
      <c r="E17" s="64"/>
      <c r="F17" s="67" t="s">
        <v>87</v>
      </c>
      <c r="G17" s="66">
        <v>0.89601221374045803</v>
      </c>
      <c r="H17" s="67">
        <v>287.84392366412197</v>
      </c>
      <c r="I17" s="67">
        <v>20121.074274809202</v>
      </c>
      <c r="J17" s="67">
        <v>9066.5235877862597</v>
      </c>
      <c r="K17" s="67">
        <v>42.728582442748099</v>
      </c>
      <c r="L17" s="67">
        <v>1346.81835877863</v>
      </c>
      <c r="M17" s="67">
        <v>-54723.945954198498</v>
      </c>
      <c r="N17" s="67">
        <v>70.224957251908407</v>
      </c>
      <c r="O17" s="67">
        <v>21901.898549618301</v>
      </c>
      <c r="P17" s="66">
        <v>33.7124595419847</v>
      </c>
      <c r="Q17" s="67">
        <v>73865.006870229001</v>
      </c>
      <c r="R17" s="67">
        <v>639.52871755725198</v>
      </c>
      <c r="S17" s="67">
        <v>296.46804122137399</v>
      </c>
      <c r="T17" s="67">
        <v>3272.6846106870198</v>
      </c>
      <c r="U17" s="67">
        <v>301228.10610686999</v>
      </c>
      <c r="V17" s="68">
        <v>122.249666412214</v>
      </c>
      <c r="W17" s="68">
        <v>185.19452442748101</v>
      </c>
      <c r="X17" s="69">
        <v>-193.03463129771001</v>
      </c>
      <c r="Y17" s="69">
        <v>273.339725954198</v>
      </c>
      <c r="Z17" s="67">
        <v>60.480824427480897</v>
      </c>
      <c r="AA17" s="67">
        <v>47.712650381679403</v>
      </c>
      <c r="AB17" s="67">
        <v>6.7200916030534303</v>
      </c>
      <c r="AC17" s="67">
        <v>23.744323664122099</v>
      </c>
      <c r="AD17" s="67">
        <v>1.51202061068702</v>
      </c>
      <c r="AE17" s="70">
        <v>171.418336641221</v>
      </c>
      <c r="AF17" s="71">
        <v>86.465178625954195</v>
      </c>
      <c r="AG17" s="71">
        <v>15.848216030534299</v>
      </c>
      <c r="AH17" s="71">
        <v>0</v>
      </c>
      <c r="AI17" s="71">
        <v>2.6880366412213701</v>
      </c>
      <c r="AJ17" s="72">
        <v>0.16800229007633599</v>
      </c>
      <c r="AK17" s="72">
        <v>0.16800229007633599</v>
      </c>
      <c r="AL17" s="72">
        <v>0.39200534351145</v>
      </c>
      <c r="AM17" s="71">
        <v>-1.5680213740458</v>
      </c>
      <c r="AN17" s="71">
        <v>-0.112001526717557</v>
      </c>
      <c r="AO17" s="71">
        <v>-0.112001526717557</v>
      </c>
      <c r="AP17" s="71">
        <v>-2.1280290076335899</v>
      </c>
      <c r="AQ17" s="71">
        <v>-5.6000763358778599E-2</v>
      </c>
      <c r="AR17" s="70">
        <v>289.075940458015</v>
      </c>
      <c r="AS17" s="71">
        <v>991.21351145038102</v>
      </c>
      <c r="AT17" s="71">
        <v>2413.6329007633599</v>
      </c>
      <c r="AU17" s="71">
        <v>282.467850381679</v>
      </c>
      <c r="AV17" s="71">
        <v>1055.6143893129799</v>
      </c>
      <c r="AW17" s="71">
        <v>159.32217175572501</v>
      </c>
      <c r="AX17" s="71">
        <v>40.208548091602999</v>
      </c>
      <c r="AY17" s="71">
        <v>102.7054</v>
      </c>
      <c r="AZ17" s="71">
        <v>10.472142748091599</v>
      </c>
      <c r="BA17" s="71">
        <v>40.712554961831998</v>
      </c>
      <c r="BB17" s="66">
        <v>5.4880748091602998</v>
      </c>
      <c r="BC17" s="66">
        <v>10.1921389312977</v>
      </c>
      <c r="BD17" s="66">
        <v>0.89601221374045803</v>
      </c>
      <c r="BE17" s="66">
        <v>3.6400496183206101</v>
      </c>
      <c r="BF17" s="66">
        <v>0.44800610687022902</v>
      </c>
      <c r="BG17" s="66">
        <v>0.56000763358778605</v>
      </c>
      <c r="BH17" s="66">
        <v>6.7760923664122101</v>
      </c>
      <c r="BI17" s="66">
        <v>-3.9200534351145002</v>
      </c>
      <c r="BJ17" s="66">
        <v>0</v>
      </c>
      <c r="BK17" s="66">
        <v>-0.33600458015267198</v>
      </c>
      <c r="BL17" s="66">
        <v>-0.22400305343511401</v>
      </c>
      <c r="BM17" s="66">
        <v>0.16800229007633599</v>
      </c>
      <c r="BN17" s="66">
        <v>2.6320358778625899</v>
      </c>
      <c r="BO17" s="66">
        <v>-1.2320167938931299</v>
      </c>
      <c r="BP17" s="66">
        <v>-1.2880175572519099</v>
      </c>
      <c r="BQ17" s="66">
        <v>198.018699236641</v>
      </c>
      <c r="BR17" s="66">
        <v>24.3603320610687</v>
      </c>
      <c r="BS17" s="73"/>
    </row>
    <row r="18" spans="1:71" ht="15">
      <c r="A18" s="62" t="s">
        <v>231</v>
      </c>
      <c r="B18" s="74" t="s">
        <v>154</v>
      </c>
      <c r="C18" s="63" t="s">
        <v>134</v>
      </c>
      <c r="D18" s="63" t="s">
        <v>227</v>
      </c>
      <c r="E18" s="64"/>
      <c r="F18" s="67" t="s">
        <v>87</v>
      </c>
      <c r="G18" s="66">
        <v>1.1760160305343501</v>
      </c>
      <c r="H18" s="67">
        <v>266.67563511450402</v>
      </c>
      <c r="I18" s="67">
        <v>19997.872595419802</v>
      </c>
      <c r="J18" s="67">
        <v>8999.3226717557209</v>
      </c>
      <c r="K18" s="67">
        <v>0.28000381679389302</v>
      </c>
      <c r="L18" s="67">
        <v>2715.4770152671699</v>
      </c>
      <c r="M18" s="67">
        <v>-54819.147251908398</v>
      </c>
      <c r="N18" s="67">
        <v>59.304808396946498</v>
      </c>
      <c r="O18" s="67">
        <v>21834.697633587799</v>
      </c>
      <c r="P18" s="66">
        <v>38.248521374045801</v>
      </c>
      <c r="Q18" s="67">
        <v>72520.988549618298</v>
      </c>
      <c r="R18" s="67">
        <v>628.32856488549601</v>
      </c>
      <c r="S18" s="67">
        <v>294.34001221374001</v>
      </c>
      <c r="T18" s="67">
        <v>3202.6836564885498</v>
      </c>
      <c r="U18" s="67">
        <v>303804.14122137398</v>
      </c>
      <c r="V18" s="68">
        <v>122.13766488549599</v>
      </c>
      <c r="W18" s="68">
        <v>181.10646870228999</v>
      </c>
      <c r="X18" s="69">
        <v>-190.962603053435</v>
      </c>
      <c r="Y18" s="69">
        <v>271.54770152671699</v>
      </c>
      <c r="Z18" s="67">
        <v>61.376836641221402</v>
      </c>
      <c r="AA18" s="67">
        <v>47.6566496183206</v>
      </c>
      <c r="AB18" s="67">
        <v>8.5121160305343508</v>
      </c>
      <c r="AC18" s="67">
        <v>15.904216793893101</v>
      </c>
      <c r="AD18" s="67">
        <v>1.45601984732824</v>
      </c>
      <c r="AE18" s="70">
        <v>169.23430687022901</v>
      </c>
      <c r="AF18" s="71">
        <v>95.369299999999996</v>
      </c>
      <c r="AG18" s="71">
        <v>17.2482351145038</v>
      </c>
      <c r="AH18" s="71">
        <v>0</v>
      </c>
      <c r="AI18" s="71">
        <v>2.52003435114504</v>
      </c>
      <c r="AJ18" s="72">
        <v>0.112001526717557</v>
      </c>
      <c r="AK18" s="72">
        <v>0.22400305343511401</v>
      </c>
      <c r="AL18" s="72">
        <v>0.50400687022900703</v>
      </c>
      <c r="AM18" s="71">
        <v>-1.5680213740458</v>
      </c>
      <c r="AN18" s="71">
        <v>-5.6000763358778599E-2</v>
      </c>
      <c r="AO18" s="71">
        <v>-5.6000763358778599E-2</v>
      </c>
      <c r="AP18" s="71">
        <v>-2.1280290076335899</v>
      </c>
      <c r="AQ18" s="71">
        <v>0</v>
      </c>
      <c r="AR18" s="70">
        <v>287.39591755725201</v>
      </c>
      <c r="AS18" s="71">
        <v>1098.1749694656501</v>
      </c>
      <c r="AT18" s="71">
        <v>2666.7563511450398</v>
      </c>
      <c r="AU18" s="71">
        <v>313.88427862595398</v>
      </c>
      <c r="AV18" s="71">
        <v>1170.97596183206</v>
      </c>
      <c r="AW18" s="71">
        <v>176.01039923664101</v>
      </c>
      <c r="AX18" s="71">
        <v>44.7446099236641</v>
      </c>
      <c r="AY18" s="71">
        <v>113.121541984733</v>
      </c>
      <c r="AZ18" s="71">
        <v>11.536157251908399</v>
      </c>
      <c r="BA18" s="71">
        <v>45.248616793893099</v>
      </c>
      <c r="BB18" s="66">
        <v>5.9920816793893099</v>
      </c>
      <c r="BC18" s="66">
        <v>11.0881511450382</v>
      </c>
      <c r="BD18" s="66">
        <v>1.0080137404580101</v>
      </c>
      <c r="BE18" s="66">
        <v>3.9200534351145002</v>
      </c>
      <c r="BF18" s="66">
        <v>0.50400687022900703</v>
      </c>
      <c r="BG18" s="66">
        <v>0.67200916030534297</v>
      </c>
      <c r="BH18" s="66">
        <v>6.5520893129770998</v>
      </c>
      <c r="BI18" s="66">
        <v>-3.9200534351145002</v>
      </c>
      <c r="BJ18" s="66">
        <v>0</v>
      </c>
      <c r="BK18" s="66">
        <v>-0.33600458015267198</v>
      </c>
      <c r="BL18" s="66">
        <v>-0.22400305343511401</v>
      </c>
      <c r="BM18" s="66">
        <v>0.16800229007633599</v>
      </c>
      <c r="BN18" s="66">
        <v>3.0240412213740502</v>
      </c>
      <c r="BO18" s="66">
        <v>-1.2320167938931299</v>
      </c>
      <c r="BP18" s="66">
        <v>-1.2880175572519099</v>
      </c>
      <c r="BQ18" s="66">
        <v>223.77905038167901</v>
      </c>
      <c r="BR18" s="66">
        <v>26.376359541984701</v>
      </c>
      <c r="BS18" s="73"/>
    </row>
    <row r="19" spans="1:71" ht="15">
      <c r="A19" s="62" t="s">
        <v>232</v>
      </c>
      <c r="B19" s="52" t="s">
        <v>99</v>
      </c>
      <c r="C19" s="75" t="s">
        <v>100</v>
      </c>
      <c r="D19" s="63" t="s">
        <v>227</v>
      </c>
      <c r="E19" s="64"/>
      <c r="F19" s="67">
        <v>81.674999999999997</v>
      </c>
      <c r="G19" s="66">
        <v>-5.0000000000000001E-3</v>
      </c>
      <c r="H19" s="67">
        <v>8853.75</v>
      </c>
      <c r="I19" s="67">
        <v>7.29</v>
      </c>
      <c r="J19" s="67">
        <v>42687.5</v>
      </c>
      <c r="K19" s="67">
        <v>4.1062500000000002</v>
      </c>
      <c r="L19" s="67">
        <v>5162.5</v>
      </c>
      <c r="M19" s="67">
        <v>897375</v>
      </c>
      <c r="N19" s="76">
        <v>-1.8025</v>
      </c>
      <c r="O19" s="67">
        <v>1788.75</v>
      </c>
      <c r="P19" s="66">
        <v>5.6250000000000001E-2</v>
      </c>
      <c r="Q19" s="67">
        <v>3.6187499999999999</v>
      </c>
      <c r="R19" s="67">
        <v>8.1624999999999996</v>
      </c>
      <c r="S19" s="67">
        <v>0.86250000000000004</v>
      </c>
      <c r="T19" s="67">
        <v>0.52124999999999999</v>
      </c>
      <c r="U19" s="67">
        <v>498.25</v>
      </c>
      <c r="V19" s="67">
        <v>7.6249999999999998E-2</v>
      </c>
      <c r="W19" s="67">
        <v>1.665</v>
      </c>
      <c r="X19" s="67">
        <v>-4.6825000000000001</v>
      </c>
      <c r="Y19" s="67">
        <v>102.9</v>
      </c>
      <c r="Z19" s="67">
        <v>39.587499999999999</v>
      </c>
      <c r="AA19" s="67">
        <v>8.2500000000000004E-2</v>
      </c>
      <c r="AB19" s="67">
        <v>1.2275</v>
      </c>
      <c r="AC19" s="67">
        <v>-9.2499999999999999E-2</v>
      </c>
      <c r="AD19" s="67">
        <v>0.14624999999999999</v>
      </c>
      <c r="AE19" s="70">
        <v>1.5037499999999999</v>
      </c>
      <c r="AF19" s="71">
        <v>7.0000000000000007E-2</v>
      </c>
      <c r="AG19" s="71">
        <v>0.10249999999999999</v>
      </c>
      <c r="AH19" s="71">
        <v>0</v>
      </c>
      <c r="AI19" s="71">
        <v>0.28999999999999998</v>
      </c>
      <c r="AJ19" s="72">
        <v>1.25E-3</v>
      </c>
      <c r="AK19" s="72">
        <v>1.25E-3</v>
      </c>
      <c r="AL19" s="72">
        <v>5.5E-2</v>
      </c>
      <c r="AM19" s="71">
        <v>-3.3750000000000002E-2</v>
      </c>
      <c r="AN19" s="71">
        <v>0</v>
      </c>
      <c r="AO19" s="71">
        <v>0.13625000000000001</v>
      </c>
      <c r="AP19" s="71">
        <v>-4.4999999999999998E-2</v>
      </c>
      <c r="AQ19" s="71">
        <v>-2.5000000000000001E-3</v>
      </c>
      <c r="AR19" s="70">
        <v>7.7324999999999999</v>
      </c>
      <c r="AS19" s="71">
        <v>0.99624999999999997</v>
      </c>
      <c r="AT19" s="71">
        <v>0.41</v>
      </c>
      <c r="AU19" s="71">
        <v>2.8750000000000001E-2</v>
      </c>
      <c r="AV19" s="71">
        <v>9.5000000000000001E-2</v>
      </c>
      <c r="AW19" s="71">
        <v>1.8749999999999999E-2</v>
      </c>
      <c r="AX19" s="71">
        <v>6.2500000000000003E-3</v>
      </c>
      <c r="AY19" s="71">
        <v>1.8749999999999999E-2</v>
      </c>
      <c r="AZ19" s="71">
        <v>2.5000000000000001E-3</v>
      </c>
      <c r="BA19" s="71">
        <v>1.2500000000000001E-2</v>
      </c>
      <c r="BB19" s="66">
        <v>3.7499999999999999E-3</v>
      </c>
      <c r="BC19" s="66">
        <v>7.4999999999999997E-3</v>
      </c>
      <c r="BD19" s="66">
        <v>1.25E-3</v>
      </c>
      <c r="BE19" s="66">
        <v>6.2500000000000003E-3</v>
      </c>
      <c r="BF19" s="66">
        <v>1.25E-3</v>
      </c>
      <c r="BG19" s="66">
        <v>1.25E-3</v>
      </c>
      <c r="BH19" s="66">
        <v>-2.5000000000000001E-3</v>
      </c>
      <c r="BI19" s="66">
        <v>2.1250000000000002E-2</v>
      </c>
      <c r="BJ19" s="66">
        <v>1.25E-3</v>
      </c>
      <c r="BK19" s="66">
        <v>-7.4999999999999997E-3</v>
      </c>
      <c r="BL19" s="66">
        <v>-5.0000000000000001E-3</v>
      </c>
      <c r="BM19" s="66">
        <v>8.7500000000000008E-3</v>
      </c>
      <c r="BN19" s="66">
        <v>0.1925</v>
      </c>
      <c r="BO19" s="66">
        <v>-2.2499999999999999E-2</v>
      </c>
      <c r="BP19" s="66">
        <v>-2.2499999999999999E-2</v>
      </c>
      <c r="BQ19" s="66">
        <v>5.8749999999999997E-2</v>
      </c>
      <c r="BR19" s="66">
        <v>0.54874999999999996</v>
      </c>
      <c r="BS19" s="73"/>
    </row>
    <row r="20" spans="1:71" ht="15">
      <c r="A20" s="62" t="s">
        <v>232</v>
      </c>
      <c r="B20" s="52" t="s">
        <v>99</v>
      </c>
      <c r="C20" s="75" t="s">
        <v>100</v>
      </c>
      <c r="D20" s="63" t="s">
        <v>227</v>
      </c>
      <c r="E20" s="64"/>
      <c r="F20" s="76">
        <v>54.524999999999999</v>
      </c>
      <c r="G20" s="77">
        <v>-3.7499999999999999E-3</v>
      </c>
      <c r="H20" s="76">
        <v>8738.75</v>
      </c>
      <c r="I20" s="74">
        <v>7.3912500000000003</v>
      </c>
      <c r="J20" s="74">
        <v>43412.5</v>
      </c>
      <c r="K20" s="74">
        <v>3.1537500000000001</v>
      </c>
      <c r="L20" s="76">
        <v>5140</v>
      </c>
      <c r="M20" s="76">
        <v>936000</v>
      </c>
      <c r="N20" s="76">
        <v>-1.5925</v>
      </c>
      <c r="O20" s="76">
        <v>1778.75</v>
      </c>
      <c r="P20" s="77">
        <v>8.7499999999999994E-2</v>
      </c>
      <c r="Q20" s="74">
        <v>3.3174999999999999</v>
      </c>
      <c r="R20" s="74">
        <v>8.2687500000000007</v>
      </c>
      <c r="S20" s="74">
        <v>0.87124999999999997</v>
      </c>
      <c r="T20" s="74">
        <v>0.51500000000000001</v>
      </c>
      <c r="U20" s="76">
        <v>490</v>
      </c>
      <c r="V20" s="74">
        <v>7.4999999999999997E-2</v>
      </c>
      <c r="W20" s="74">
        <v>1.6675</v>
      </c>
      <c r="X20" s="76">
        <v>-4.80375</v>
      </c>
      <c r="Y20" s="76">
        <v>102.375</v>
      </c>
      <c r="Z20" s="76">
        <v>39.4375</v>
      </c>
      <c r="AA20" s="76">
        <v>8.5000000000000006E-2</v>
      </c>
      <c r="AB20" s="76">
        <v>1.49125</v>
      </c>
      <c r="AC20" s="74">
        <v>-8.3750000000000005E-2</v>
      </c>
      <c r="AD20" s="76">
        <v>0.15</v>
      </c>
      <c r="AE20" s="70">
        <v>1.5149999999999999</v>
      </c>
      <c r="AF20" s="71">
        <v>6.8750000000000006E-2</v>
      </c>
      <c r="AG20" s="71">
        <v>0.12625</v>
      </c>
      <c r="AH20" s="71">
        <v>0</v>
      </c>
      <c r="AI20" s="71">
        <v>0.30499999999999999</v>
      </c>
      <c r="AJ20" s="72">
        <v>1.25E-3</v>
      </c>
      <c r="AK20" s="72">
        <v>1.25E-3</v>
      </c>
      <c r="AL20" s="72">
        <v>0.05</v>
      </c>
      <c r="AM20" s="71">
        <v>-3.3750000000000002E-2</v>
      </c>
      <c r="AN20" s="71">
        <v>0</v>
      </c>
      <c r="AO20" s="71">
        <v>0.13750000000000001</v>
      </c>
      <c r="AP20" s="71">
        <v>-4.6249999999999999E-2</v>
      </c>
      <c r="AQ20" s="71">
        <v>-2.5000000000000001E-3</v>
      </c>
      <c r="AR20" s="70">
        <v>7.6137499999999996</v>
      </c>
      <c r="AS20" s="71">
        <v>1.0462499999999999</v>
      </c>
      <c r="AT20" s="71">
        <v>0.41499999999999998</v>
      </c>
      <c r="AU20" s="71">
        <v>0.03</v>
      </c>
      <c r="AV20" s="71">
        <v>9.1249999999999998E-2</v>
      </c>
      <c r="AW20" s="71">
        <v>2.375E-2</v>
      </c>
      <c r="AX20" s="71">
        <v>6.2500000000000003E-3</v>
      </c>
      <c r="AY20" s="71">
        <v>1.8749999999999999E-2</v>
      </c>
      <c r="AZ20" s="71">
        <v>2.5000000000000001E-3</v>
      </c>
      <c r="BA20" s="71">
        <v>1.4999999999999999E-2</v>
      </c>
      <c r="BB20" s="66">
        <v>3.7499999999999999E-3</v>
      </c>
      <c r="BC20" s="66">
        <v>7.4999999999999997E-3</v>
      </c>
      <c r="BD20" s="66">
        <v>2.5000000000000001E-3</v>
      </c>
      <c r="BE20" s="66">
        <v>6.2500000000000003E-3</v>
      </c>
      <c r="BF20" s="66">
        <v>1.25E-3</v>
      </c>
      <c r="BG20" s="66">
        <v>2.5000000000000001E-3</v>
      </c>
      <c r="BH20" s="66">
        <v>-2.5000000000000001E-3</v>
      </c>
      <c r="BI20" s="66">
        <v>3.5000000000000003E-2</v>
      </c>
      <c r="BJ20" s="66">
        <v>1.25E-3</v>
      </c>
      <c r="BK20" s="66">
        <v>-7.4999999999999997E-3</v>
      </c>
      <c r="BL20" s="66">
        <v>-5.0000000000000001E-3</v>
      </c>
      <c r="BM20" s="66">
        <v>7.4999999999999997E-3</v>
      </c>
      <c r="BN20" s="66">
        <v>0.18</v>
      </c>
      <c r="BO20" s="66">
        <v>-2.1250000000000002E-2</v>
      </c>
      <c r="BP20" s="66">
        <v>-2.2499999999999999E-2</v>
      </c>
      <c r="BQ20" s="66">
        <v>6.1249999999999999E-2</v>
      </c>
      <c r="BR20" s="66">
        <v>0.59750000000000003</v>
      </c>
      <c r="BS20" s="73"/>
    </row>
    <row r="21" spans="1:71" ht="15">
      <c r="A21" s="62" t="s">
        <v>232</v>
      </c>
      <c r="B21" s="52" t="s">
        <v>99</v>
      </c>
      <c r="C21" s="75" t="s">
        <v>100</v>
      </c>
      <c r="D21" s="63" t="s">
        <v>227</v>
      </c>
      <c r="E21" s="64"/>
      <c r="F21" s="76">
        <v>45.287500000000001</v>
      </c>
      <c r="G21" s="77">
        <v>-6.2500000000000003E-3</v>
      </c>
      <c r="H21" s="76">
        <v>8845</v>
      </c>
      <c r="I21" s="74">
        <v>7.4037499999999996</v>
      </c>
      <c r="J21" s="74">
        <v>44012.5</v>
      </c>
      <c r="K21" s="74">
        <v>4.0412499999999998</v>
      </c>
      <c r="L21" s="76">
        <v>4996.25</v>
      </c>
      <c r="M21" s="76">
        <v>931125</v>
      </c>
      <c r="N21" s="76">
        <v>-1.52</v>
      </c>
      <c r="O21" s="76">
        <v>1762.5</v>
      </c>
      <c r="P21" s="77">
        <v>8.5000000000000006E-2</v>
      </c>
      <c r="Q21" s="74">
        <v>3.2524999999999999</v>
      </c>
      <c r="R21" s="74">
        <v>8.2987500000000001</v>
      </c>
      <c r="S21" s="74">
        <v>0.86124999999999996</v>
      </c>
      <c r="T21" s="74">
        <v>0.50749999999999995</v>
      </c>
      <c r="U21" s="76">
        <v>480.75</v>
      </c>
      <c r="V21" s="74">
        <v>7.3749999999999996E-2</v>
      </c>
      <c r="W21" s="74">
        <v>1.6425000000000001</v>
      </c>
      <c r="X21" s="76">
        <v>-4.8337500000000002</v>
      </c>
      <c r="Y21" s="76">
        <v>102.02500000000001</v>
      </c>
      <c r="Z21" s="76">
        <v>39.1875</v>
      </c>
      <c r="AA21" s="76">
        <v>7.7499999999999999E-2</v>
      </c>
      <c r="AB21" s="76">
        <v>1.41875</v>
      </c>
      <c r="AC21" s="74">
        <v>-8.8749999999999996E-2</v>
      </c>
      <c r="AD21" s="76">
        <v>0.15</v>
      </c>
      <c r="AE21" s="70">
        <v>1.5049999999999999</v>
      </c>
      <c r="AF21" s="71">
        <v>7.0000000000000007E-2</v>
      </c>
      <c r="AG21" s="71">
        <v>0.13625000000000001</v>
      </c>
      <c r="AH21" s="71">
        <v>0</v>
      </c>
      <c r="AI21" s="71">
        <v>0.30875000000000002</v>
      </c>
      <c r="AJ21" s="72">
        <v>2.5000000000000001E-3</v>
      </c>
      <c r="AK21" s="72">
        <v>1.25E-3</v>
      </c>
      <c r="AL21" s="72">
        <v>3.875E-2</v>
      </c>
      <c r="AM21" s="71">
        <v>-3.3750000000000002E-2</v>
      </c>
      <c r="AN21" s="71">
        <v>0</v>
      </c>
      <c r="AO21" s="71">
        <v>0.13875000000000001</v>
      </c>
      <c r="AP21" s="71">
        <v>-4.4999999999999998E-2</v>
      </c>
      <c r="AQ21" s="71">
        <v>-2.5000000000000001E-3</v>
      </c>
      <c r="AR21" s="70">
        <v>7.7074999999999996</v>
      </c>
      <c r="AS21" s="71">
        <v>1.0449999999999999</v>
      </c>
      <c r="AT21" s="71">
        <v>0.40375</v>
      </c>
      <c r="AU21" s="71">
        <v>2.8750000000000001E-2</v>
      </c>
      <c r="AV21" s="71">
        <v>8.8749999999999996E-2</v>
      </c>
      <c r="AW21" s="71">
        <v>1.7500000000000002E-2</v>
      </c>
      <c r="AX21" s="71">
        <v>5.0000000000000001E-3</v>
      </c>
      <c r="AY21" s="71">
        <v>1.6250000000000001E-2</v>
      </c>
      <c r="AZ21" s="71">
        <v>2.5000000000000001E-3</v>
      </c>
      <c r="BA21" s="71">
        <v>1.2500000000000001E-2</v>
      </c>
      <c r="BB21" s="66">
        <v>2.5000000000000001E-3</v>
      </c>
      <c r="BC21" s="66">
        <v>6.2500000000000003E-3</v>
      </c>
      <c r="BD21" s="66">
        <v>1.25E-3</v>
      </c>
      <c r="BE21" s="66">
        <v>5.0000000000000001E-3</v>
      </c>
      <c r="BF21" s="66">
        <v>1.25E-3</v>
      </c>
      <c r="BG21" s="66">
        <v>2.5000000000000001E-3</v>
      </c>
      <c r="BH21" s="66">
        <v>-2.5000000000000001E-3</v>
      </c>
      <c r="BI21" s="66">
        <v>3.875E-2</v>
      </c>
      <c r="BJ21" s="66">
        <v>1.25E-3</v>
      </c>
      <c r="BK21" s="66">
        <v>-7.4999999999999997E-3</v>
      </c>
      <c r="BL21" s="66">
        <v>-5.0000000000000001E-3</v>
      </c>
      <c r="BM21" s="66">
        <v>5.0000000000000001E-3</v>
      </c>
      <c r="BN21" s="66">
        <v>0.16625000000000001</v>
      </c>
      <c r="BO21" s="66">
        <v>-2.1250000000000002E-2</v>
      </c>
      <c r="BP21" s="66">
        <v>-2.2499999999999999E-2</v>
      </c>
      <c r="BQ21" s="66">
        <v>5.5E-2</v>
      </c>
      <c r="BR21" s="66">
        <v>0.60124999999999995</v>
      </c>
      <c r="BS21" s="73"/>
    </row>
    <row r="22" spans="1:71" ht="15">
      <c r="A22" s="62" t="s">
        <v>233</v>
      </c>
      <c r="B22" s="52" t="s">
        <v>103</v>
      </c>
      <c r="C22" s="75" t="s">
        <v>104</v>
      </c>
      <c r="D22" s="63" t="s">
        <v>227</v>
      </c>
      <c r="E22" s="64"/>
      <c r="F22" s="76">
        <v>121.86</v>
      </c>
      <c r="G22" s="77">
        <v>-2.7000000000000001E-3</v>
      </c>
      <c r="H22" s="76">
        <v>4954.5</v>
      </c>
      <c r="I22" s="74">
        <v>30.6585</v>
      </c>
      <c r="J22" s="74">
        <v>184.63499999999999</v>
      </c>
      <c r="K22" s="74">
        <v>14.273999999999999</v>
      </c>
      <c r="L22" s="76">
        <v>3923.55</v>
      </c>
      <c r="M22" s="76">
        <v>1903500</v>
      </c>
      <c r="N22" s="76">
        <v>133.56</v>
      </c>
      <c r="O22" s="76">
        <v>545.4</v>
      </c>
      <c r="P22" s="77">
        <v>4.4999999999999999E-4</v>
      </c>
      <c r="Q22" s="74">
        <v>1.3891500000000001</v>
      </c>
      <c r="R22" s="74">
        <v>4.2282000000000002</v>
      </c>
      <c r="S22" s="74">
        <v>2.1577500000000001</v>
      </c>
      <c r="T22" s="74">
        <v>0.95579999999999998</v>
      </c>
      <c r="U22" s="76">
        <v>111.19499999999999</v>
      </c>
      <c r="V22" s="74">
        <v>0.19980000000000001</v>
      </c>
      <c r="W22" s="74">
        <v>11.646000000000001</v>
      </c>
      <c r="X22" s="76">
        <v>626400</v>
      </c>
      <c r="Y22" s="76">
        <v>1750.5</v>
      </c>
      <c r="Z22" s="76">
        <v>5.2200000000000003E-2</v>
      </c>
      <c r="AA22" s="76">
        <v>2.4750000000000001E-2</v>
      </c>
      <c r="AB22" s="76">
        <v>10.1655</v>
      </c>
      <c r="AC22" s="74">
        <v>0.96840000000000004</v>
      </c>
      <c r="AD22" s="76">
        <v>0.28844999999999998</v>
      </c>
      <c r="AE22" s="70">
        <v>4.0558500000000004</v>
      </c>
      <c r="AF22" s="71">
        <v>1.3500000000000001E-3</v>
      </c>
      <c r="AG22" s="71">
        <v>0.10979999999999999</v>
      </c>
      <c r="AH22" s="71">
        <v>0</v>
      </c>
      <c r="AI22" s="71">
        <v>1.1254500000000001</v>
      </c>
      <c r="AJ22" s="72">
        <v>0</v>
      </c>
      <c r="AK22" s="72">
        <v>4.0499999999999998E-3</v>
      </c>
      <c r="AL22" s="72">
        <v>2.205E-2</v>
      </c>
      <c r="AM22" s="71">
        <v>42.304499999999997</v>
      </c>
      <c r="AN22" s="71">
        <v>0.12959999999999999</v>
      </c>
      <c r="AO22" s="71">
        <v>1.0746</v>
      </c>
      <c r="AP22" s="71">
        <v>0.12105</v>
      </c>
      <c r="AQ22" s="71">
        <v>4.0499999999999998E-3</v>
      </c>
      <c r="AR22" s="70">
        <v>2.0871</v>
      </c>
      <c r="AS22" s="71">
        <v>2.2499999999999998E-3</v>
      </c>
      <c r="AT22" s="71">
        <v>4.0499999999999998E-3</v>
      </c>
      <c r="AU22" s="71">
        <v>4.4999999999999999E-4</v>
      </c>
      <c r="AV22" s="71">
        <v>8.9999999999999998E-4</v>
      </c>
      <c r="AW22" s="71">
        <v>0</v>
      </c>
      <c r="AX22" s="71">
        <v>0</v>
      </c>
      <c r="AY22" s="71">
        <v>4.4999999999999999E-4</v>
      </c>
      <c r="AZ22" s="71">
        <v>0</v>
      </c>
      <c r="BA22" s="71">
        <v>4.4999999999999999E-4</v>
      </c>
      <c r="BB22" s="66">
        <v>0</v>
      </c>
      <c r="BC22" s="66">
        <v>0</v>
      </c>
      <c r="BD22" s="66">
        <v>0</v>
      </c>
      <c r="BE22" s="66">
        <v>0</v>
      </c>
      <c r="BF22" s="66">
        <v>0</v>
      </c>
      <c r="BG22" s="66">
        <v>2.2499999999999998E-3</v>
      </c>
      <c r="BH22" s="66">
        <v>0</v>
      </c>
      <c r="BI22" s="66">
        <v>0.36044999999999999</v>
      </c>
      <c r="BJ22" s="66">
        <v>5.8500000000000002E-3</v>
      </c>
      <c r="BK22" s="66">
        <v>-2.2499999999999998E-3</v>
      </c>
      <c r="BL22" s="66">
        <v>-8.9999999999999998E-4</v>
      </c>
      <c r="BM22" s="66">
        <v>0</v>
      </c>
      <c r="BN22" s="66">
        <v>1.485E-2</v>
      </c>
      <c r="BO22" s="66">
        <v>9.7650000000000001E-2</v>
      </c>
      <c r="BP22" s="66">
        <v>64.394999999999996</v>
      </c>
      <c r="BQ22" s="66">
        <v>1.3500000000000001E-3</v>
      </c>
      <c r="BR22" s="66">
        <v>4.4999999999999997E-3</v>
      </c>
      <c r="BS22" s="73"/>
    </row>
    <row r="23" spans="1:71" ht="15">
      <c r="A23" s="62" t="s">
        <v>233</v>
      </c>
      <c r="B23" s="52" t="s">
        <v>103</v>
      </c>
      <c r="C23" s="75" t="s">
        <v>104</v>
      </c>
      <c r="D23" s="63" t="s">
        <v>227</v>
      </c>
      <c r="E23" s="64"/>
      <c r="F23" s="76">
        <v>123.84</v>
      </c>
      <c r="G23" s="77">
        <v>8.9999999999999993E-3</v>
      </c>
      <c r="H23" s="76">
        <v>5017.5</v>
      </c>
      <c r="I23" s="74">
        <v>27.576000000000001</v>
      </c>
      <c r="J23" s="74">
        <v>140.85</v>
      </c>
      <c r="K23" s="74">
        <v>9.1259999999999994</v>
      </c>
      <c r="L23" s="76">
        <v>3578.4</v>
      </c>
      <c r="M23" s="76">
        <v>2044800</v>
      </c>
      <c r="N23" s="76">
        <v>145.88999999999999</v>
      </c>
      <c r="O23" s="76">
        <v>533.70000000000005</v>
      </c>
      <c r="P23" s="77">
        <v>8.9999999999999998E-4</v>
      </c>
      <c r="Q23" s="74">
        <v>1.4057999999999999</v>
      </c>
      <c r="R23" s="74">
        <v>4.0518000000000001</v>
      </c>
      <c r="S23" s="74">
        <v>2.2360500000000001</v>
      </c>
      <c r="T23" s="74">
        <v>0.89505000000000001</v>
      </c>
      <c r="U23" s="76">
        <v>108.45</v>
      </c>
      <c r="V23" s="74">
        <v>0.1971</v>
      </c>
      <c r="W23" s="74">
        <v>11.555999999999999</v>
      </c>
      <c r="X23" s="76">
        <v>629100</v>
      </c>
      <c r="Y23" s="76">
        <v>1793.7</v>
      </c>
      <c r="Z23" s="76">
        <v>3.3750000000000002E-2</v>
      </c>
      <c r="AA23" s="76">
        <v>2.6550000000000001E-2</v>
      </c>
      <c r="AB23" s="76">
        <v>11.5245</v>
      </c>
      <c r="AC23" s="74">
        <v>0.64980000000000004</v>
      </c>
      <c r="AD23" s="76">
        <v>0.29699999999999999</v>
      </c>
      <c r="AE23" s="70">
        <v>4.0549499999999998</v>
      </c>
      <c r="AF23" s="71">
        <v>1.3500000000000001E-3</v>
      </c>
      <c r="AG23" s="71">
        <v>7.1099999999999997E-2</v>
      </c>
      <c r="AH23" s="71">
        <v>0</v>
      </c>
      <c r="AI23" s="71">
        <v>1.1412</v>
      </c>
      <c r="AJ23" s="72">
        <v>0</v>
      </c>
      <c r="AK23" s="72">
        <v>4.0499999999999998E-3</v>
      </c>
      <c r="AL23" s="72">
        <v>1.8450000000000001E-2</v>
      </c>
      <c r="AM23" s="71">
        <v>44.856000000000002</v>
      </c>
      <c r="AN23" s="71">
        <v>0.12690000000000001</v>
      </c>
      <c r="AO23" s="71">
        <v>1.10205</v>
      </c>
      <c r="AP23" s="71">
        <v>8.7749999999999995E-2</v>
      </c>
      <c r="AQ23" s="71">
        <v>5.8500000000000002E-3</v>
      </c>
      <c r="AR23" s="70">
        <v>2.0866500000000001</v>
      </c>
      <c r="AS23" s="71">
        <v>2.2499999999999998E-3</v>
      </c>
      <c r="AT23" s="71">
        <v>3.5999999999999999E-3</v>
      </c>
      <c r="AU23" s="71">
        <v>4.4999999999999999E-4</v>
      </c>
      <c r="AV23" s="71">
        <v>8.9999999999999998E-4</v>
      </c>
      <c r="AW23" s="71">
        <v>0</v>
      </c>
      <c r="AX23" s="71">
        <v>0</v>
      </c>
      <c r="AY23" s="71">
        <v>4.4999999999999999E-4</v>
      </c>
      <c r="AZ23" s="71">
        <v>0</v>
      </c>
      <c r="BA23" s="71">
        <v>4.4999999999999999E-4</v>
      </c>
      <c r="BB23" s="66">
        <v>0</v>
      </c>
      <c r="BC23" s="66">
        <v>0</v>
      </c>
      <c r="BD23" s="66">
        <v>0</v>
      </c>
      <c r="BE23" s="66">
        <v>0</v>
      </c>
      <c r="BF23" s="66">
        <v>0</v>
      </c>
      <c r="BG23" s="66">
        <v>8.9999999999999998E-4</v>
      </c>
      <c r="BH23" s="66">
        <v>-4.4999999999999999E-4</v>
      </c>
      <c r="BI23" s="66">
        <v>0.36585000000000001</v>
      </c>
      <c r="BJ23" s="66">
        <v>5.8500000000000002E-3</v>
      </c>
      <c r="BK23" s="66">
        <v>-2.2499999999999998E-3</v>
      </c>
      <c r="BL23" s="66">
        <v>-8.9999999999999998E-4</v>
      </c>
      <c r="BM23" s="66">
        <v>0</v>
      </c>
      <c r="BN23" s="66">
        <v>1.6199999999999999E-2</v>
      </c>
      <c r="BO23" s="66">
        <v>0.10979999999999999</v>
      </c>
      <c r="BP23" s="66">
        <v>64.62</v>
      </c>
      <c r="BQ23" s="66">
        <v>4.4999999999999999E-4</v>
      </c>
      <c r="BR23" s="66">
        <v>4.4999999999999997E-3</v>
      </c>
      <c r="BS23" s="73"/>
    </row>
    <row r="24" spans="1:71" ht="15">
      <c r="A24" s="62" t="s">
        <v>233</v>
      </c>
      <c r="B24" s="52" t="s">
        <v>103</v>
      </c>
      <c r="C24" s="75" t="s">
        <v>104</v>
      </c>
      <c r="D24" s="63" t="s">
        <v>227</v>
      </c>
      <c r="E24" s="64"/>
      <c r="F24" s="76">
        <v>115.38</v>
      </c>
      <c r="G24" s="77">
        <v>-2.7000000000000001E-3</v>
      </c>
      <c r="H24" s="76">
        <v>4860</v>
      </c>
      <c r="I24" s="74">
        <v>27.6435</v>
      </c>
      <c r="J24" s="74">
        <v>138.465</v>
      </c>
      <c r="K24" s="74">
        <v>18.710999999999999</v>
      </c>
      <c r="L24" s="76">
        <v>3676.05</v>
      </c>
      <c r="M24" s="76">
        <v>1992600</v>
      </c>
      <c r="N24" s="76">
        <v>141.97499999999999</v>
      </c>
      <c r="O24" s="76">
        <v>519.29999999999995</v>
      </c>
      <c r="P24" s="77">
        <v>4.4999999999999999E-4</v>
      </c>
      <c r="Q24" s="74">
        <v>0.97424999999999995</v>
      </c>
      <c r="R24" s="74">
        <v>4.2470999999999997</v>
      </c>
      <c r="S24" s="74">
        <v>2.1946500000000002</v>
      </c>
      <c r="T24" s="74">
        <v>0.94094999999999995</v>
      </c>
      <c r="U24" s="76">
        <v>106.02</v>
      </c>
      <c r="V24" s="74">
        <v>0.19800000000000001</v>
      </c>
      <c r="W24" s="74">
        <v>12.064500000000001</v>
      </c>
      <c r="X24" s="76">
        <v>661500</v>
      </c>
      <c r="Y24" s="76">
        <v>1870.2</v>
      </c>
      <c r="Z24" s="76">
        <v>3.15E-2</v>
      </c>
      <c r="AA24" s="76">
        <v>3.6900000000000002E-2</v>
      </c>
      <c r="AB24" s="76">
        <v>12.1005</v>
      </c>
      <c r="AC24" s="74">
        <v>0.36</v>
      </c>
      <c r="AD24" s="76">
        <v>0.26235000000000003</v>
      </c>
      <c r="AE24" s="70">
        <v>4.2336</v>
      </c>
      <c r="AF24" s="71">
        <v>1.8E-3</v>
      </c>
      <c r="AG24" s="71">
        <v>5.2650000000000002E-2</v>
      </c>
      <c r="AH24" s="71">
        <v>0</v>
      </c>
      <c r="AI24" s="71">
        <v>1.21905</v>
      </c>
      <c r="AJ24" s="72">
        <v>4.4999999999999999E-4</v>
      </c>
      <c r="AK24" s="72">
        <v>4.4999999999999997E-3</v>
      </c>
      <c r="AL24" s="72">
        <v>2.1600000000000001E-2</v>
      </c>
      <c r="AM24" s="71">
        <v>46.35</v>
      </c>
      <c r="AN24" s="71">
        <v>0.13095000000000001</v>
      </c>
      <c r="AO24" s="71">
        <v>1.0737000000000001</v>
      </c>
      <c r="AP24" s="71">
        <v>0.13769999999999999</v>
      </c>
      <c r="AQ24" s="71">
        <v>8.0999999999999996E-3</v>
      </c>
      <c r="AR24" s="70">
        <v>1.96245</v>
      </c>
      <c r="AS24" s="71">
        <v>2.2499999999999998E-3</v>
      </c>
      <c r="AT24" s="71">
        <v>4.0499999999999998E-3</v>
      </c>
      <c r="AU24" s="71">
        <v>4.4999999999999999E-4</v>
      </c>
      <c r="AV24" s="71">
        <v>8.9999999999999998E-4</v>
      </c>
      <c r="AW24" s="71">
        <v>4.4999999999999999E-4</v>
      </c>
      <c r="AX24" s="71">
        <v>0</v>
      </c>
      <c r="AY24" s="71">
        <v>0</v>
      </c>
      <c r="AZ24" s="71">
        <v>0</v>
      </c>
      <c r="BA24" s="71">
        <v>4.4999999999999999E-4</v>
      </c>
      <c r="BB24" s="66">
        <v>0</v>
      </c>
      <c r="BC24" s="66">
        <v>0</v>
      </c>
      <c r="BD24" s="66">
        <v>0</v>
      </c>
      <c r="BE24" s="66">
        <v>0</v>
      </c>
      <c r="BF24" s="66">
        <v>0</v>
      </c>
      <c r="BG24" s="66">
        <v>1.8E-3</v>
      </c>
      <c r="BH24" s="66">
        <v>-4.4999999999999999E-4</v>
      </c>
      <c r="BI24" s="66">
        <v>0.35325000000000001</v>
      </c>
      <c r="BJ24" s="66">
        <v>5.8500000000000002E-3</v>
      </c>
      <c r="BK24" s="66">
        <v>-2.7000000000000001E-3</v>
      </c>
      <c r="BL24" s="66">
        <v>-8.9999999999999998E-4</v>
      </c>
      <c r="BM24" s="66">
        <v>0</v>
      </c>
      <c r="BN24" s="66">
        <v>1.755E-2</v>
      </c>
      <c r="BO24" s="66">
        <v>0.1134</v>
      </c>
      <c r="BP24" s="66">
        <v>62.82</v>
      </c>
      <c r="BQ24" s="66">
        <v>4.4999999999999999E-4</v>
      </c>
      <c r="BR24" s="66">
        <v>4.4999999999999997E-3</v>
      </c>
      <c r="BS24" s="73"/>
    </row>
    <row r="25" spans="1:71" ht="25.5" customHeight="1">
      <c r="A25" s="62" t="s">
        <v>234</v>
      </c>
      <c r="B25" s="52" t="s">
        <v>107</v>
      </c>
      <c r="C25" s="75" t="s">
        <v>104</v>
      </c>
      <c r="D25" s="63" t="s">
        <v>227</v>
      </c>
      <c r="E25" s="64"/>
      <c r="F25" s="76">
        <v>65.64</v>
      </c>
      <c r="G25" s="77">
        <v>-1.8E-3</v>
      </c>
      <c r="H25" s="76">
        <v>1887.9</v>
      </c>
      <c r="I25" s="74">
        <v>33.299999999999997</v>
      </c>
      <c r="J25" s="74">
        <v>47.61</v>
      </c>
      <c r="K25" s="74">
        <v>10.842000000000001</v>
      </c>
      <c r="L25" s="76">
        <v>4680</v>
      </c>
      <c r="M25" s="76">
        <v>1400100</v>
      </c>
      <c r="N25" s="76">
        <v>67.41</v>
      </c>
      <c r="O25" s="76">
        <v>597.6</v>
      </c>
      <c r="P25" s="77">
        <v>-2.9999999999999997E-4</v>
      </c>
      <c r="Q25" s="74">
        <v>0.41010000000000002</v>
      </c>
      <c r="R25" s="74">
        <v>1.6947000000000001</v>
      </c>
      <c r="S25" s="74">
        <v>0.59550000000000003</v>
      </c>
      <c r="T25" s="74">
        <v>0.55200000000000005</v>
      </c>
      <c r="U25" s="76">
        <v>136.59</v>
      </c>
      <c r="V25" s="74">
        <v>0.29820000000000002</v>
      </c>
      <c r="W25" s="74">
        <v>7.35</v>
      </c>
      <c r="X25" s="76">
        <v>444900</v>
      </c>
      <c r="Y25" s="76">
        <v>6822</v>
      </c>
      <c r="Z25" s="76">
        <v>1.6500000000000001E-2</v>
      </c>
      <c r="AA25" s="76">
        <v>2.64E-2</v>
      </c>
      <c r="AB25" s="76">
        <v>17.652000000000001</v>
      </c>
      <c r="AC25" s="74">
        <v>0.99299999999999999</v>
      </c>
      <c r="AD25" s="76">
        <v>5.8500000000000003E-2</v>
      </c>
      <c r="AE25" s="70">
        <v>3.7829999999999999</v>
      </c>
      <c r="AF25" s="71">
        <v>0</v>
      </c>
      <c r="AG25" s="71">
        <v>0.1671</v>
      </c>
      <c r="AH25" s="71">
        <v>0</v>
      </c>
      <c r="AI25" s="71">
        <v>11.205</v>
      </c>
      <c r="AJ25" s="72">
        <v>0</v>
      </c>
      <c r="AK25" s="72">
        <v>2.9999999999999997E-4</v>
      </c>
      <c r="AL25" s="72">
        <v>8.9999999999999998E-4</v>
      </c>
      <c r="AM25" s="71">
        <v>17.399999999999999</v>
      </c>
      <c r="AN25" s="71">
        <v>0.1095</v>
      </c>
      <c r="AO25" s="71">
        <v>0.84840000000000004</v>
      </c>
      <c r="AP25" s="71">
        <v>6.9599999999999995E-2</v>
      </c>
      <c r="AQ25" s="71">
        <v>2.7000000000000001E-3</v>
      </c>
      <c r="AR25" s="70">
        <v>1.254</v>
      </c>
      <c r="AS25" s="71">
        <v>2.9999999999999997E-4</v>
      </c>
      <c r="AT25" s="71">
        <v>2.9999999999999997E-4</v>
      </c>
      <c r="AU25" s="71">
        <v>0</v>
      </c>
      <c r="AV25" s="71">
        <v>0</v>
      </c>
      <c r="AW25" s="71">
        <v>0</v>
      </c>
      <c r="AX25" s="71">
        <v>0</v>
      </c>
      <c r="AY25" s="71">
        <v>0</v>
      </c>
      <c r="AZ25" s="71">
        <v>0</v>
      </c>
      <c r="BA25" s="71">
        <v>0</v>
      </c>
      <c r="BB25" s="66">
        <v>0</v>
      </c>
      <c r="BC25" s="66">
        <v>0</v>
      </c>
      <c r="BD25" s="66">
        <v>0</v>
      </c>
      <c r="BE25" s="66">
        <v>0</v>
      </c>
      <c r="BF25" s="66">
        <v>0</v>
      </c>
      <c r="BG25" s="66">
        <v>2.9999999999999997E-4</v>
      </c>
      <c r="BH25" s="66">
        <v>-2.9999999999999997E-4</v>
      </c>
      <c r="BI25" s="66">
        <v>9.2700000000000005E-2</v>
      </c>
      <c r="BJ25" s="66">
        <v>3.3E-3</v>
      </c>
      <c r="BK25" s="66">
        <v>-1.1999999999999999E-3</v>
      </c>
      <c r="BL25" s="66">
        <v>-5.9999999999999995E-4</v>
      </c>
      <c r="BM25" s="66">
        <v>-2.9999999999999997E-4</v>
      </c>
      <c r="BN25" s="66">
        <v>-8.9999999999999998E-4</v>
      </c>
      <c r="BO25" s="66">
        <v>9.1200000000000003E-2</v>
      </c>
      <c r="BP25" s="66">
        <v>332.4</v>
      </c>
      <c r="BQ25" s="66">
        <v>-5.9999999999999995E-4</v>
      </c>
      <c r="BR25" s="66">
        <v>2.7000000000000001E-3</v>
      </c>
      <c r="BS25" s="73"/>
    </row>
    <row r="26" spans="1:71" ht="28.35" customHeight="1">
      <c r="A26" s="62" t="s">
        <v>234</v>
      </c>
      <c r="B26" s="52" t="s">
        <v>107</v>
      </c>
      <c r="C26" s="75" t="s">
        <v>104</v>
      </c>
      <c r="D26" s="63" t="s">
        <v>227</v>
      </c>
      <c r="E26" s="64"/>
      <c r="F26" s="76">
        <v>63.69</v>
      </c>
      <c r="G26" s="77">
        <v>4.1999999999999997E-3</v>
      </c>
      <c r="H26" s="76">
        <v>1935.6</v>
      </c>
      <c r="I26" s="74">
        <v>34.26</v>
      </c>
      <c r="J26" s="74">
        <v>46.26</v>
      </c>
      <c r="K26" s="74">
        <v>13.430999999999999</v>
      </c>
      <c r="L26" s="76">
        <v>5127</v>
      </c>
      <c r="M26" s="76">
        <v>1467900</v>
      </c>
      <c r="N26" s="76">
        <v>68.64</v>
      </c>
      <c r="O26" s="76">
        <v>636</v>
      </c>
      <c r="P26" s="77">
        <v>-2.9999999999999997E-4</v>
      </c>
      <c r="Q26" s="74">
        <v>0.59670000000000001</v>
      </c>
      <c r="R26" s="74">
        <v>1.6728000000000001</v>
      </c>
      <c r="S26" s="74">
        <v>0.58320000000000005</v>
      </c>
      <c r="T26" s="74">
        <v>0.54959999999999998</v>
      </c>
      <c r="U26" s="76">
        <v>143.04</v>
      </c>
      <c r="V26" s="74">
        <v>0.29160000000000003</v>
      </c>
      <c r="W26" s="74">
        <v>7.359</v>
      </c>
      <c r="X26" s="76">
        <v>445500</v>
      </c>
      <c r="Y26" s="76">
        <v>6678</v>
      </c>
      <c r="Z26" s="76">
        <v>1.47E-2</v>
      </c>
      <c r="AA26" s="76">
        <v>1.9800000000000002E-2</v>
      </c>
      <c r="AB26" s="76">
        <v>19.305</v>
      </c>
      <c r="AC26" s="74">
        <v>1.0874999999999999</v>
      </c>
      <c r="AD26" s="76">
        <v>5.6099999999999997E-2</v>
      </c>
      <c r="AE26" s="70">
        <v>3.855</v>
      </c>
      <c r="AF26" s="71">
        <v>0</v>
      </c>
      <c r="AG26" s="71">
        <v>3.5099999999999999E-2</v>
      </c>
      <c r="AH26" s="71">
        <v>0</v>
      </c>
      <c r="AI26" s="71">
        <v>11.31</v>
      </c>
      <c r="AJ26" s="72">
        <v>0</v>
      </c>
      <c r="AK26" s="72">
        <v>5.9999999999999995E-4</v>
      </c>
      <c r="AL26" s="72">
        <v>8.9999999999999998E-4</v>
      </c>
      <c r="AM26" s="71">
        <v>17.166</v>
      </c>
      <c r="AN26" s="71">
        <v>0.1158</v>
      </c>
      <c r="AO26" s="71">
        <v>0.81510000000000005</v>
      </c>
      <c r="AP26" s="71">
        <v>0.12509999999999999</v>
      </c>
      <c r="AQ26" s="71">
        <v>3.5999999999999999E-3</v>
      </c>
      <c r="AR26" s="70">
        <v>1.2347999999999999</v>
      </c>
      <c r="AS26" s="71">
        <v>2.9999999999999997E-4</v>
      </c>
      <c r="AT26" s="71">
        <v>2.9999999999999997E-4</v>
      </c>
      <c r="AU26" s="71">
        <v>0</v>
      </c>
      <c r="AV26" s="71">
        <v>0</v>
      </c>
      <c r="AW26" s="71">
        <v>0</v>
      </c>
      <c r="AX26" s="71">
        <v>0</v>
      </c>
      <c r="AY26" s="71">
        <v>0</v>
      </c>
      <c r="AZ26" s="71">
        <v>0</v>
      </c>
      <c r="BA26" s="71">
        <v>0</v>
      </c>
      <c r="BB26" s="66">
        <v>0</v>
      </c>
      <c r="BC26" s="66">
        <v>0</v>
      </c>
      <c r="BD26" s="66">
        <v>0</v>
      </c>
      <c r="BE26" s="66">
        <v>0</v>
      </c>
      <c r="BF26" s="66">
        <v>0</v>
      </c>
      <c r="BG26" s="66">
        <v>2.9999999999999997E-4</v>
      </c>
      <c r="BH26" s="66">
        <v>-2.9999999999999997E-4</v>
      </c>
      <c r="BI26" s="66">
        <v>9.06E-2</v>
      </c>
      <c r="BJ26" s="66">
        <v>3.3E-3</v>
      </c>
      <c r="BK26" s="66">
        <v>-1.8E-3</v>
      </c>
      <c r="BL26" s="66">
        <v>-5.9999999999999995E-4</v>
      </c>
      <c r="BM26" s="66">
        <v>-2.9999999999999997E-4</v>
      </c>
      <c r="BN26" s="66">
        <v>-8.9999999999999998E-4</v>
      </c>
      <c r="BO26" s="66">
        <v>9.3600000000000003E-2</v>
      </c>
      <c r="BP26" s="66">
        <v>323.7</v>
      </c>
      <c r="BQ26" s="66">
        <v>-5.9999999999999995E-4</v>
      </c>
      <c r="BR26" s="66">
        <v>3.0000000000000001E-3</v>
      </c>
      <c r="BS26" s="73"/>
    </row>
    <row r="27" spans="1:71" ht="35.1" customHeight="1">
      <c r="A27" s="62" t="s">
        <v>234</v>
      </c>
      <c r="B27" s="52" t="s">
        <v>107</v>
      </c>
      <c r="C27" s="75" t="s">
        <v>104</v>
      </c>
      <c r="D27" s="63" t="s">
        <v>227</v>
      </c>
      <c r="E27" s="64"/>
      <c r="F27" s="76">
        <v>59.85</v>
      </c>
      <c r="G27" s="77">
        <v>-1.8E-3</v>
      </c>
      <c r="H27" s="76">
        <v>1942.5</v>
      </c>
      <c r="I27" s="74">
        <v>35.729999999999997</v>
      </c>
      <c r="J27" s="74">
        <v>48.45</v>
      </c>
      <c r="K27" s="74">
        <v>19.082999999999998</v>
      </c>
      <c r="L27" s="76">
        <v>5199</v>
      </c>
      <c r="M27" s="76">
        <v>1502100</v>
      </c>
      <c r="N27" s="76">
        <v>61.89</v>
      </c>
      <c r="O27" s="76">
        <v>652.79999999999995</v>
      </c>
      <c r="P27" s="77">
        <v>-2.9999999999999997E-4</v>
      </c>
      <c r="Q27" s="74">
        <v>0.39119999999999999</v>
      </c>
      <c r="R27" s="74">
        <v>1.7577</v>
      </c>
      <c r="S27" s="74">
        <v>0.57150000000000001</v>
      </c>
      <c r="T27" s="74">
        <v>0.55800000000000005</v>
      </c>
      <c r="U27" s="76">
        <v>145.11000000000001</v>
      </c>
      <c r="V27" s="74">
        <v>0.3</v>
      </c>
      <c r="W27" s="74">
        <v>7.5990000000000002</v>
      </c>
      <c r="X27" s="76">
        <v>456000</v>
      </c>
      <c r="Y27" s="76">
        <v>6711</v>
      </c>
      <c r="Z27" s="76">
        <v>1.14E-2</v>
      </c>
      <c r="AA27" s="76">
        <v>1.9800000000000002E-2</v>
      </c>
      <c r="AB27" s="76">
        <v>19.62</v>
      </c>
      <c r="AC27" s="74">
        <v>0.61650000000000005</v>
      </c>
      <c r="AD27" s="76">
        <v>6.2399999999999997E-2</v>
      </c>
      <c r="AE27" s="70">
        <v>3.8340000000000001</v>
      </c>
      <c r="AF27" s="71">
        <v>0</v>
      </c>
      <c r="AG27" s="71">
        <v>3.0300000000000001E-2</v>
      </c>
      <c r="AH27" s="71">
        <v>0</v>
      </c>
      <c r="AI27" s="71">
        <v>11.25</v>
      </c>
      <c r="AJ27" s="72">
        <v>0</v>
      </c>
      <c r="AK27" s="72">
        <v>5.9999999999999995E-4</v>
      </c>
      <c r="AL27" s="72">
        <v>8.9999999999999998E-4</v>
      </c>
      <c r="AM27" s="71">
        <v>16.806000000000001</v>
      </c>
      <c r="AN27" s="71">
        <v>0.10829999999999999</v>
      </c>
      <c r="AO27" s="71">
        <v>0.78120000000000001</v>
      </c>
      <c r="AP27" s="71">
        <v>0.1041</v>
      </c>
      <c r="AQ27" s="71">
        <v>3.8999999999999998E-3</v>
      </c>
      <c r="AR27" s="70">
        <v>1.2030000000000001</v>
      </c>
      <c r="AS27" s="71">
        <v>2.9999999999999997E-4</v>
      </c>
      <c r="AT27" s="71">
        <v>2.9999999999999997E-4</v>
      </c>
      <c r="AU27" s="71">
        <v>0</v>
      </c>
      <c r="AV27" s="71">
        <v>0</v>
      </c>
      <c r="AW27" s="71">
        <v>0</v>
      </c>
      <c r="AX27" s="71">
        <v>0</v>
      </c>
      <c r="AY27" s="71">
        <v>0</v>
      </c>
      <c r="AZ27" s="71">
        <v>0</v>
      </c>
      <c r="BA27" s="71">
        <v>0</v>
      </c>
      <c r="BB27" s="66">
        <v>0</v>
      </c>
      <c r="BC27" s="66">
        <v>0</v>
      </c>
      <c r="BD27" s="66">
        <v>0</v>
      </c>
      <c r="BE27" s="66">
        <v>0</v>
      </c>
      <c r="BF27" s="66">
        <v>0</v>
      </c>
      <c r="BG27" s="66">
        <v>5.9999999999999995E-4</v>
      </c>
      <c r="BH27" s="66">
        <v>-2.9999999999999997E-4</v>
      </c>
      <c r="BI27" s="66">
        <v>8.1600000000000006E-2</v>
      </c>
      <c r="BJ27" s="66">
        <v>2.7000000000000001E-3</v>
      </c>
      <c r="BK27" s="66">
        <v>-1.5E-3</v>
      </c>
      <c r="BL27" s="66">
        <v>-5.9999999999999995E-4</v>
      </c>
      <c r="BM27" s="66">
        <v>-2.9999999999999997E-4</v>
      </c>
      <c r="BN27" s="66">
        <v>-8.9999999999999998E-4</v>
      </c>
      <c r="BO27" s="66">
        <v>9.1499999999999998E-2</v>
      </c>
      <c r="BP27" s="66">
        <v>297.18</v>
      </c>
      <c r="BQ27" s="66">
        <v>-5.9999999999999995E-4</v>
      </c>
      <c r="BR27" s="66">
        <v>2.7000000000000001E-3</v>
      </c>
      <c r="BS27" s="73"/>
    </row>
    <row r="28" spans="1:71" ht="15">
      <c r="A28" s="62" t="s">
        <v>235</v>
      </c>
      <c r="B28" s="56" t="s">
        <v>111</v>
      </c>
      <c r="C28" s="75" t="s">
        <v>236</v>
      </c>
      <c r="D28" s="63" t="s">
        <v>227</v>
      </c>
      <c r="E28" s="64"/>
      <c r="F28" s="76">
        <v>0.13100000000000001</v>
      </c>
      <c r="G28" s="77">
        <v>-5.9999999999999995E-4</v>
      </c>
      <c r="H28" s="76">
        <v>48.2</v>
      </c>
      <c r="I28" s="74">
        <v>1.58</v>
      </c>
      <c r="J28" s="74">
        <v>-1.3100000000000001E-2</v>
      </c>
      <c r="K28" s="74">
        <v>0.6</v>
      </c>
      <c r="L28" s="76">
        <v>12260</v>
      </c>
      <c r="M28" s="76">
        <v>-46.57</v>
      </c>
      <c r="N28" s="76">
        <v>1.139</v>
      </c>
      <c r="O28" s="76">
        <v>25.12</v>
      </c>
      <c r="P28" s="77">
        <v>4.7000000000000002E-3</v>
      </c>
      <c r="Q28" s="74">
        <v>2E-3</v>
      </c>
      <c r="R28" s="74">
        <v>1.2200000000000001E-2</v>
      </c>
      <c r="S28" s="74">
        <v>1.4999999999999999E-2</v>
      </c>
      <c r="T28" s="74">
        <v>5.1999999999999998E-3</v>
      </c>
      <c r="U28" s="76">
        <v>4.4499999999999998E-2</v>
      </c>
      <c r="V28" s="74">
        <v>4.0000000000000002E-4</v>
      </c>
      <c r="W28" s="74">
        <v>4.0000000000000001E-3</v>
      </c>
      <c r="X28" s="76">
        <v>-0.43519999999999998</v>
      </c>
      <c r="Y28" s="76">
        <v>0.2626</v>
      </c>
      <c r="Z28" s="76">
        <v>-2.0000000000000001E-4</v>
      </c>
      <c r="AA28" s="76">
        <v>2.0000000000000001E-4</v>
      </c>
      <c r="AB28" s="76">
        <v>-1.2200000000000001E-2</v>
      </c>
      <c r="AC28" s="74">
        <v>-3.5000000000000001E-3</v>
      </c>
      <c r="AD28" s="76">
        <v>5.0000000000000001E-4</v>
      </c>
      <c r="AE28" s="70">
        <v>0.3488</v>
      </c>
      <c r="AF28" s="71">
        <v>1.5E-3</v>
      </c>
      <c r="AG28" s="71">
        <v>-2.9999999999999997E-4</v>
      </c>
      <c r="AH28" s="71">
        <v>0</v>
      </c>
      <c r="AI28" s="71">
        <v>-1E-4</v>
      </c>
      <c r="AJ28" s="72">
        <v>2.2000000000000001E-3</v>
      </c>
      <c r="AK28" s="72">
        <v>1.6000000000000001E-3</v>
      </c>
      <c r="AL28" s="72">
        <v>0.25900000000000001</v>
      </c>
      <c r="AM28" s="71">
        <v>1.7299999999999999E-2</v>
      </c>
      <c r="AN28" s="71">
        <v>-2.9999999999999997E-4</v>
      </c>
      <c r="AO28" s="71">
        <v>-2.9999999999999997E-4</v>
      </c>
      <c r="AP28" s="71">
        <v>-3.8E-3</v>
      </c>
      <c r="AQ28" s="71">
        <v>-2.0000000000000001E-4</v>
      </c>
      <c r="AR28" s="70">
        <v>3.9899999999999998E-2</v>
      </c>
      <c r="AS28" s="71">
        <v>1.1999999999999999E-3</v>
      </c>
      <c r="AT28" s="71">
        <v>1.6999999999999999E-3</v>
      </c>
      <c r="AU28" s="71">
        <v>1.4E-3</v>
      </c>
      <c r="AV28" s="71">
        <v>1.1999999999999999E-3</v>
      </c>
      <c r="AW28" s="71">
        <v>1.1999999999999999E-3</v>
      </c>
      <c r="AX28" s="71">
        <v>1.2999999999999999E-3</v>
      </c>
      <c r="AY28" s="71">
        <v>1.4E-3</v>
      </c>
      <c r="AZ28" s="71">
        <v>1.2999999999999999E-3</v>
      </c>
      <c r="BA28" s="71">
        <v>1.2999999999999999E-3</v>
      </c>
      <c r="BB28" s="66">
        <v>1.2999999999999999E-3</v>
      </c>
      <c r="BC28" s="66">
        <v>1.2999999999999999E-3</v>
      </c>
      <c r="BD28" s="66">
        <v>1.2999999999999999E-3</v>
      </c>
      <c r="BE28" s="66">
        <v>1.5E-3</v>
      </c>
      <c r="BF28" s="66">
        <v>1.2999999999999999E-3</v>
      </c>
      <c r="BG28" s="66">
        <v>-2.0000000000000001E-4</v>
      </c>
      <c r="BH28" s="66">
        <v>-2.0000000000000001E-4</v>
      </c>
      <c r="BI28" s="66">
        <v>-7.1999999999999998E-3</v>
      </c>
      <c r="BJ28" s="66">
        <v>0</v>
      </c>
      <c r="BK28" s="66">
        <v>-5.9999999999999995E-4</v>
      </c>
      <c r="BL28" s="66">
        <v>-2.9999999999999997E-4</v>
      </c>
      <c r="BM28" s="66">
        <v>1.0800000000000001E-2</v>
      </c>
      <c r="BN28" s="66">
        <v>4.4459999999999997</v>
      </c>
      <c r="BO28" s="66">
        <v>-2E-3</v>
      </c>
      <c r="BP28" s="66">
        <v>-2E-3</v>
      </c>
      <c r="BQ28" s="66">
        <v>3.4200000000000001E-2</v>
      </c>
      <c r="BR28" s="66">
        <v>8.3999999999999995E-3</v>
      </c>
      <c r="BS28" s="73"/>
    </row>
    <row r="29" spans="1:71" ht="15">
      <c r="A29" s="62" t="s">
        <v>235</v>
      </c>
      <c r="B29" s="56" t="s">
        <v>111</v>
      </c>
      <c r="C29" s="75" t="s">
        <v>236</v>
      </c>
      <c r="D29" s="63" t="s">
        <v>227</v>
      </c>
      <c r="E29" s="64"/>
      <c r="F29" s="76">
        <v>0.18970000000000001</v>
      </c>
      <c r="G29" s="77">
        <v>-5.9999999999999995E-4</v>
      </c>
      <c r="H29" s="76">
        <v>48.76</v>
      </c>
      <c r="I29" s="74">
        <v>1.5720000000000001</v>
      </c>
      <c r="J29" s="74">
        <v>-2.2800000000000001E-2</v>
      </c>
      <c r="K29" s="74">
        <v>0.43290000000000001</v>
      </c>
      <c r="L29" s="76">
        <v>12170</v>
      </c>
      <c r="M29" s="76">
        <v>-38.840000000000003</v>
      </c>
      <c r="N29" s="76">
        <v>1.099</v>
      </c>
      <c r="O29" s="76">
        <v>26.01</v>
      </c>
      <c r="P29" s="77">
        <v>2.8E-3</v>
      </c>
      <c r="Q29" s="74">
        <v>3.2000000000000002E-3</v>
      </c>
      <c r="R29" s="74">
        <v>1.29E-2</v>
      </c>
      <c r="S29" s="74">
        <v>7.1999999999999998E-3</v>
      </c>
      <c r="T29" s="74">
        <v>4.7999999999999996E-3</v>
      </c>
      <c r="U29" s="76">
        <v>4.1500000000000002E-2</v>
      </c>
      <c r="V29" s="74">
        <v>2.9999999999999997E-4</v>
      </c>
      <c r="W29" s="74">
        <v>4.8999999999999998E-3</v>
      </c>
      <c r="X29" s="76">
        <v>-0.43640000000000001</v>
      </c>
      <c r="Y29" s="76">
        <v>0.22409999999999999</v>
      </c>
      <c r="Z29" s="76">
        <v>-2.0000000000000001E-4</v>
      </c>
      <c r="AA29" s="76">
        <v>1E-4</v>
      </c>
      <c r="AB29" s="76">
        <v>-1.6E-2</v>
      </c>
      <c r="AC29" s="74">
        <v>-2.3999999999999998E-3</v>
      </c>
      <c r="AD29" s="76">
        <v>4.0000000000000002E-4</v>
      </c>
      <c r="AE29" s="70">
        <v>0.34370000000000001</v>
      </c>
      <c r="AF29" s="71">
        <v>1.1000000000000001E-3</v>
      </c>
      <c r="AG29" s="71">
        <v>-2.9999999999999997E-4</v>
      </c>
      <c r="AH29" s="71">
        <v>0</v>
      </c>
      <c r="AI29" s="71">
        <v>2.0000000000000001E-4</v>
      </c>
      <c r="AJ29" s="72">
        <v>1.6000000000000001E-3</v>
      </c>
      <c r="AK29" s="72">
        <v>1.1000000000000001E-3</v>
      </c>
      <c r="AL29" s="72">
        <v>7.9799999999999996E-2</v>
      </c>
      <c r="AM29" s="71">
        <v>3.8999999999999998E-3</v>
      </c>
      <c r="AN29" s="71">
        <v>-2.9999999999999997E-4</v>
      </c>
      <c r="AO29" s="71">
        <v>-4.0000000000000002E-4</v>
      </c>
      <c r="AP29" s="71">
        <v>-3.8E-3</v>
      </c>
      <c r="AQ29" s="71">
        <v>-2.9999999999999997E-4</v>
      </c>
      <c r="AR29" s="70">
        <v>4.3499999999999997E-2</v>
      </c>
      <c r="AS29" s="71">
        <v>1E-3</v>
      </c>
      <c r="AT29" s="71">
        <v>1.5E-3</v>
      </c>
      <c r="AU29" s="71">
        <v>8.9999999999999998E-4</v>
      </c>
      <c r="AV29" s="71">
        <v>1.1999999999999999E-3</v>
      </c>
      <c r="AW29" s="71">
        <v>8.9999999999999998E-4</v>
      </c>
      <c r="AX29" s="71">
        <v>1E-3</v>
      </c>
      <c r="AY29" s="71">
        <v>1E-3</v>
      </c>
      <c r="AZ29" s="71">
        <v>1E-3</v>
      </c>
      <c r="BA29" s="71">
        <v>1E-3</v>
      </c>
      <c r="BB29" s="66">
        <v>1E-3</v>
      </c>
      <c r="BC29" s="66">
        <v>1.1000000000000001E-3</v>
      </c>
      <c r="BD29" s="66">
        <v>1E-3</v>
      </c>
      <c r="BE29" s="66">
        <v>1.1000000000000001E-3</v>
      </c>
      <c r="BF29" s="66">
        <v>1E-3</v>
      </c>
      <c r="BG29" s="66">
        <v>-1E-4</v>
      </c>
      <c r="BH29" s="66">
        <v>-2.0000000000000001E-4</v>
      </c>
      <c r="BI29" s="66">
        <v>-7.3000000000000001E-3</v>
      </c>
      <c r="BJ29" s="66">
        <v>0</v>
      </c>
      <c r="BK29" s="66">
        <v>-5.9999999999999995E-4</v>
      </c>
      <c r="BL29" s="66">
        <v>-2.9999999999999997E-4</v>
      </c>
      <c r="BM29" s="66">
        <v>6.6E-3</v>
      </c>
      <c r="BN29" s="66">
        <v>0.4894</v>
      </c>
      <c r="BO29" s="66">
        <v>-2.0999999999999999E-3</v>
      </c>
      <c r="BP29" s="66">
        <v>-2.3E-3</v>
      </c>
      <c r="BQ29" s="66">
        <v>2.3400000000000001E-2</v>
      </c>
      <c r="BR29" s="66">
        <v>8.8000000000000005E-3</v>
      </c>
      <c r="BS29" s="73"/>
    </row>
    <row r="30" spans="1:71" ht="15">
      <c r="A30" s="62" t="s">
        <v>235</v>
      </c>
      <c r="B30" s="56" t="s">
        <v>111</v>
      </c>
      <c r="C30" s="75" t="s">
        <v>236</v>
      </c>
      <c r="D30" s="63" t="s">
        <v>227</v>
      </c>
      <c r="E30" s="64"/>
      <c r="F30" s="76">
        <v>0.19389999999999999</v>
      </c>
      <c r="G30" s="77">
        <v>-5.9999999999999995E-4</v>
      </c>
      <c r="H30" s="76">
        <v>47.8</v>
      </c>
      <c r="I30" s="74">
        <v>1.599</v>
      </c>
      <c r="J30" s="74">
        <v>0.1318</v>
      </c>
      <c r="K30" s="74">
        <v>0.42249999999999999</v>
      </c>
      <c r="L30" s="76">
        <v>11450</v>
      </c>
      <c r="M30" s="76">
        <v>-45.86</v>
      </c>
      <c r="N30" s="74">
        <v>1.097</v>
      </c>
      <c r="O30" s="76">
        <v>24.59</v>
      </c>
      <c r="P30" s="77">
        <v>1.6000000000000001E-3</v>
      </c>
      <c r="Q30" s="74">
        <v>1.6E-2</v>
      </c>
      <c r="R30" s="74">
        <v>1.2200000000000001E-2</v>
      </c>
      <c r="S30" s="74">
        <v>6.8999999999999999E-3</v>
      </c>
      <c r="T30" s="74">
        <v>4.7000000000000002E-3</v>
      </c>
      <c r="U30" s="76">
        <v>2.9700000000000001E-2</v>
      </c>
      <c r="V30" s="74">
        <v>4.0000000000000002E-4</v>
      </c>
      <c r="W30" s="74">
        <v>6.6E-3</v>
      </c>
      <c r="X30" s="76">
        <v>-0.44009999999999999</v>
      </c>
      <c r="Y30" s="76">
        <v>0.22159999999999999</v>
      </c>
      <c r="Z30" s="76">
        <v>-2.0000000000000001E-4</v>
      </c>
      <c r="AA30" s="76">
        <v>2.0000000000000001E-4</v>
      </c>
      <c r="AB30" s="76">
        <v>-1.7399999999999999E-2</v>
      </c>
      <c r="AC30" s="74">
        <v>-4.5999999999999999E-3</v>
      </c>
      <c r="AD30" s="76">
        <v>5.0000000000000001E-4</v>
      </c>
      <c r="AE30" s="74">
        <v>0.3458</v>
      </c>
      <c r="AF30" s="71">
        <v>8.9999999999999998E-4</v>
      </c>
      <c r="AG30" s="71">
        <v>0</v>
      </c>
      <c r="AH30" s="71">
        <v>0</v>
      </c>
      <c r="AI30" s="71">
        <v>2.9999999999999997E-4</v>
      </c>
      <c r="AJ30" s="72">
        <v>1.1000000000000001E-3</v>
      </c>
      <c r="AK30" s="72">
        <v>8.9999999999999998E-4</v>
      </c>
      <c r="AL30" s="72">
        <v>5.1200000000000002E-2</v>
      </c>
      <c r="AM30" s="71">
        <v>1.5E-3</v>
      </c>
      <c r="AN30" s="71">
        <v>-2.9999999999999997E-4</v>
      </c>
      <c r="AO30" s="71">
        <v>-4.0000000000000002E-4</v>
      </c>
      <c r="AP30" s="71">
        <v>-3.5999999999999999E-3</v>
      </c>
      <c r="AQ30" s="71">
        <v>-2.0000000000000001E-4</v>
      </c>
      <c r="AR30" s="70">
        <v>4.1000000000000002E-2</v>
      </c>
      <c r="AS30" s="71">
        <v>8.9999999999999998E-4</v>
      </c>
      <c r="AT30" s="71">
        <v>1.1999999999999999E-3</v>
      </c>
      <c r="AU30" s="71">
        <v>6.9999999999999999E-4</v>
      </c>
      <c r="AV30" s="71">
        <v>6.9999999999999999E-4</v>
      </c>
      <c r="AW30" s="71">
        <v>5.9999999999999995E-4</v>
      </c>
      <c r="AX30" s="71">
        <v>6.9999999999999999E-4</v>
      </c>
      <c r="AY30" s="71">
        <v>8.0000000000000004E-4</v>
      </c>
      <c r="AZ30" s="71">
        <v>8.0000000000000004E-4</v>
      </c>
      <c r="BA30" s="71">
        <v>6.9999999999999999E-4</v>
      </c>
      <c r="BB30" s="66">
        <v>8.0000000000000004E-4</v>
      </c>
      <c r="BC30" s="66">
        <v>6.9999999999999999E-4</v>
      </c>
      <c r="BD30" s="66">
        <v>8.0000000000000004E-4</v>
      </c>
      <c r="BE30" s="66">
        <v>8.0000000000000004E-4</v>
      </c>
      <c r="BF30" s="66">
        <v>8.0000000000000004E-4</v>
      </c>
      <c r="BG30" s="66">
        <v>-1E-4</v>
      </c>
      <c r="BH30" s="66">
        <v>-2.0000000000000001E-4</v>
      </c>
      <c r="BI30" s="66">
        <v>-7.4000000000000003E-3</v>
      </c>
      <c r="BJ30" s="66">
        <v>0</v>
      </c>
      <c r="BK30" s="66">
        <v>-5.9999999999999995E-4</v>
      </c>
      <c r="BL30" s="66">
        <v>-2.9999999999999997E-4</v>
      </c>
      <c r="BM30" s="66">
        <v>5.1999999999999998E-3</v>
      </c>
      <c r="BN30" s="66">
        <v>0.23630000000000001</v>
      </c>
      <c r="BO30" s="66">
        <v>-2.0999999999999999E-3</v>
      </c>
      <c r="BP30" s="66">
        <v>-2.3E-3</v>
      </c>
      <c r="BQ30" s="66">
        <v>1.6299999999999999E-2</v>
      </c>
      <c r="BR30" s="66">
        <v>8.3999999999999995E-3</v>
      </c>
      <c r="BS30" s="73"/>
    </row>
    <row r="31" spans="1:71" ht="15">
      <c r="A31" s="1"/>
      <c r="B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7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</row>
    <row r="32" spans="1:71" ht="15">
      <c r="A32" s="1"/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</row>
    <row r="33" spans="54:71" ht="15"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</row>
    <row r="34" spans="54:71" ht="15"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</row>
    <row r="35" spans="54:71" ht="15"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</row>
    <row r="36" spans="54:71" ht="15"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</row>
    <row r="37" spans="54:71" ht="15"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</row>
    <row r="38" spans="54:71" ht="15"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</row>
    <row r="39" spans="54:71" ht="15"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</row>
    <row r="40" spans="54:71" ht="15"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</row>
    <row r="41" spans="54:71" ht="15"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</row>
    <row r="42" spans="54:71" ht="15"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</row>
    <row r="43" spans="54:71" ht="15"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</row>
    <row r="44" spans="54:71" ht="15"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</row>
    <row r="45" spans="54:71" ht="15"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</row>
    <row r="46" spans="54:71" ht="15"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</row>
    <row r="47" spans="54:71" ht="15"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</row>
    <row r="48" spans="54:71" ht="15"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</row>
    <row r="49" spans="54:71" ht="15"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</row>
    <row r="50" spans="54:71" ht="15"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</row>
    <row r="51" spans="54:71" ht="15"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</row>
    <row r="52" spans="54:71" ht="15"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</row>
    <row r="53" spans="54:71" ht="15"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</row>
    <row r="54" spans="54:71" ht="15"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</row>
    <row r="55" spans="54:71" ht="15"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</row>
    <row r="56" spans="54:71" ht="15"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</row>
    <row r="57" spans="54:71" ht="15"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</row>
    <row r="58" spans="54:71" ht="15"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</row>
    <row r="59" spans="54:71" ht="15"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</row>
    <row r="60" spans="54:71" ht="15"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</row>
    <row r="61" spans="54:71" ht="15"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</row>
    <row r="62" spans="54:71" ht="15"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</row>
    <row r="63" spans="54:71" ht="15"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</row>
    <row r="64" spans="54:71" ht="15"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</row>
    <row r="65" spans="54:71" ht="15"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</row>
    <row r="66" spans="54:71" ht="15"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</row>
    <row r="67" spans="54:71" ht="15"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</row>
    <row r="68" spans="54:71" ht="15"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</row>
    <row r="69" spans="54:71" ht="15"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</row>
    <row r="70" spans="54:71" ht="15"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</row>
    <row r="71" spans="54:71" ht="15"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</row>
    <row r="72" spans="54:71" ht="15"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</row>
    <row r="73" spans="54:71" ht="15"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</row>
    <row r="74" spans="54:71" ht="15"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</row>
    <row r="75" spans="54:71" ht="15"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</row>
    <row r="76" spans="54:71" ht="15"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</row>
    <row r="77" spans="54:71" ht="15"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</row>
    <row r="78" spans="54:71" ht="15"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</row>
    <row r="79" spans="54:71" ht="15"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</row>
    <row r="80" spans="54:71" ht="15"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</row>
    <row r="81" spans="54:71" ht="15"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</row>
    <row r="82" spans="54:71" ht="15"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</row>
    <row r="83" spans="54:71" ht="15"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</row>
    <row r="84" spans="54:71" ht="15"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</row>
    <row r="85" spans="54:71" ht="15"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</row>
    <row r="86" spans="54:71" ht="15"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</row>
    <row r="87" spans="54:71" ht="15"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</row>
  </sheetData>
  <mergeCells count="5">
    <mergeCell ref="A1:Q1"/>
    <mergeCell ref="A2:A3"/>
    <mergeCell ref="B2:B3"/>
    <mergeCell ref="C2:C3"/>
    <mergeCell ref="D2:D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</dc:creator>
  <cp:keywords/>
  <dc:description/>
  <cp:lastModifiedBy>Irakli Javakhadze</cp:lastModifiedBy>
  <cp:revision>190</cp:revision>
  <dcterms:created xsi:type="dcterms:W3CDTF">2023-01-16T11:06:20Z</dcterms:created>
  <dcterms:modified xsi:type="dcterms:W3CDTF">2025-12-07T19:57:14Z</dcterms:modified>
  <cp:category/>
  <cp:contentStatus/>
</cp:coreProperties>
</file>