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vakha25\Downloads\"/>
    </mc:Choice>
  </mc:AlternateContent>
  <xr:revisionPtr revIDLastSave="0" documentId="13_ncr:1_{38AF4EEA-6CA5-48D9-A0F8-F62FBEB5EB4D}" xr6:coauthVersionLast="47" xr6:coauthVersionMax="47" xr10:uidLastSave="{00000000-0000-0000-0000-000000000000}"/>
  <bookViews>
    <workbookView xWindow="28680" yWindow="4125" windowWidth="29040" windowHeight="15720" tabRatio="500" activeTab="2" xr2:uid="{00000000-000D-0000-FFFF-FFFF00000000}"/>
  </bookViews>
  <sheets>
    <sheet name="COA Details" sheetId="1" r:id="rId1"/>
    <sheet name="Lab Sheet " sheetId="2" r:id="rId2"/>
    <sheet name="Original ATS  Sample Results" sheetId="3" r:id="rId3"/>
  </sheets>
  <definedNames>
    <definedName name="_xlnm.Print_Area" localSheetId="0">'COA Details'!$A$1:$T$54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V49" i="1" l="1"/>
  <c r="AW49" i="1" s="1"/>
</calcChain>
</file>

<file path=xl/sharedStrings.xml><?xml version="1.0" encoding="utf-8"?>
<sst xmlns="http://schemas.openxmlformats.org/spreadsheetml/2006/main" count="419" uniqueCount="199">
  <si>
    <r>
      <rPr>
        <b/>
        <vertAlign val="superscript"/>
        <sz val="10"/>
        <color rgb="FF000000"/>
        <rFont val="Arial"/>
        <family val="2"/>
        <charset val="1"/>
      </rPr>
      <t>1</t>
    </r>
    <r>
      <rPr>
        <b/>
        <sz val="10"/>
        <color rgb="FF000000"/>
        <rFont val="Arial"/>
        <family val="2"/>
        <charset val="1"/>
      </rPr>
      <t>Lithium metaborate fusion sample preparation and calculations</t>
    </r>
  </si>
  <si>
    <t>Aqua Regia Prep and Calculations</t>
  </si>
  <si>
    <t>Procedure:</t>
  </si>
  <si>
    <t>13085 Ash Street</t>
  </si>
  <si>
    <t>Thornton, CO  80241</t>
  </si>
  <si>
    <t>1.    Label an empty high density polyethylene (HDPE) bottle with lid. Weigh empty bottle plus lid.*</t>
  </si>
  <si>
    <t>2.    Add approximately 60 ml 1N HNO3 to bottle.</t>
  </si>
  <si>
    <t>Certificate of Analysis</t>
  </si>
  <si>
    <t>3.    Replace cap and weight bottle + acid.</t>
  </si>
  <si>
    <t>4.    Place clean graphite crucible on scale and tare.</t>
  </si>
  <si>
    <t xml:space="preserve">5.    Add approximately 0.8 to 1.2 grams of lithium metaborate flux to crucible and weigh. </t>
  </si>
  <si>
    <t>Red River Creek Mining Group LLC</t>
  </si>
  <si>
    <t>Date:</t>
  </si>
  <si>
    <t>6.    Tare scale and add approximately 0.1 g of approximately 80% passing 75 micron sized powdered</t>
  </si>
  <si>
    <t>1712 Carey Avenue</t>
  </si>
  <si>
    <t>Page:</t>
  </si>
  <si>
    <t>1 of 1</t>
  </si>
  <si>
    <t xml:space="preserve">       rock sample to the crucible containing</t>
  </si>
  <si>
    <t>Suite 100</t>
  </si>
  <si>
    <t>Assay Reference #:</t>
  </si>
  <si>
    <t xml:space="preserve">       the previously measured flux and weigh.</t>
  </si>
  <si>
    <t>Cheyenne, WY  82001</t>
  </si>
  <si>
    <t>7.    Place crucible into a preheated muffle furnace (500 C).</t>
  </si>
  <si>
    <t>8.    Bring furnace up to 950 - 1000 C.  Sample to remain at this temperature for 20 minutes.</t>
  </si>
  <si>
    <t>Batch 42</t>
  </si>
  <si>
    <t>9.    Using tongs, remove crucible from furnace and immediately pour molten flux into a metal washer</t>
  </si>
  <si>
    <t xml:space="preserve">       to cast a glass button.</t>
  </si>
  <si>
    <r>
      <rPr>
        <b/>
        <sz val="10"/>
        <color rgb="FF000000"/>
        <rFont val="Arial"/>
        <family val="2"/>
        <charset val="1"/>
      </rPr>
      <t>Sample Preparation</t>
    </r>
    <r>
      <rPr>
        <b/>
        <vertAlign val="superscript"/>
        <sz val="10"/>
        <color rgb="FF000000"/>
        <rFont val="Arial"/>
        <family val="2"/>
        <charset val="1"/>
      </rPr>
      <t>1</t>
    </r>
  </si>
  <si>
    <t>Aqua Regia Digestion – ICP/MS &amp;</t>
  </si>
  <si>
    <t>10.  Transfer glass flux bead from washer to the appropriate bottle containing 1 N HNO3.</t>
  </si>
  <si>
    <t>Nexus Geos LLC</t>
  </si>
  <si>
    <t>11.  Recap bottle and weigh.</t>
  </si>
  <si>
    <t>Method Code:  Rich31.M</t>
  </si>
  <si>
    <t>12.  Place bottle with sample on a hot plate or similar heater until the flux button is completely dissolved</t>
  </si>
  <si>
    <t>13.  The liquid sample is sent to the University of Nebraska for instrumental analysis.</t>
  </si>
  <si>
    <t xml:space="preserve">14.  ICP-MS analytical results are adjusted back to the original sample weight. </t>
  </si>
  <si>
    <r>
      <rPr>
        <b/>
        <sz val="10"/>
        <color rgb="FF000000"/>
        <rFont val="Arial"/>
        <family val="2"/>
        <charset val="1"/>
      </rPr>
      <t>Sample Analysis</t>
    </r>
    <r>
      <rPr>
        <b/>
        <vertAlign val="superscript"/>
        <sz val="10"/>
        <color rgb="FF000000"/>
        <rFont val="Arial"/>
        <family val="2"/>
        <charset val="1"/>
      </rPr>
      <t>2</t>
    </r>
  </si>
  <si>
    <t>Inductively coupled plasma mass spectrometry (ICP-MS)</t>
  </si>
  <si>
    <t>University of Nebraska-Lincoln</t>
  </si>
  <si>
    <t>* By request UNIV of NE. 15 ml aliquot of solution transferred from 60 ml bottle and submitted for analysis.</t>
  </si>
  <si>
    <t>Redox Biology Center</t>
  </si>
  <si>
    <t>Spectroscopic and Biophysics Core Facility</t>
  </si>
  <si>
    <t>      Dilution factor = (acid weight + button weight) / sample weight</t>
  </si>
  <si>
    <t>E157 Beadle Center</t>
  </si>
  <si>
    <t xml:space="preserve">      PPB is converted to ppm by dividing by 1,000.</t>
  </si>
  <si>
    <t>Lincoln, NE  68588-0662</t>
  </si>
  <si>
    <t xml:space="preserve">      PPM/weight x dilution factor = assay value (ppm)</t>
  </si>
  <si>
    <t>Method Code:  22-6230-0007 ICP-MS</t>
  </si>
  <si>
    <t>      Efficiency = ((flux weight + sample weight), pre-heat) / ((flux weight + sample weight), post heat)</t>
  </si>
  <si>
    <r>
      <rPr>
        <b/>
        <vertAlign val="superscript"/>
        <sz val="10"/>
        <color rgb="FF000000"/>
        <rFont val="Arial"/>
        <family val="2"/>
        <charset val="1"/>
      </rPr>
      <t>2</t>
    </r>
    <r>
      <rPr>
        <b/>
        <sz val="10"/>
        <color rgb="FF000000"/>
        <rFont val="Arial"/>
        <family val="2"/>
        <charset val="1"/>
      </rPr>
      <t>Inductively coupled plasma mass spectrometer unit:  Agilent 7500 cx</t>
    </r>
  </si>
  <si>
    <t xml:space="preserve">      Detection Limit:</t>
  </si>
  <si>
    <t>The detection limit of the ICP-MS unit is variable depending on each sample run.</t>
  </si>
  <si>
    <t>There are multiple samples per sample run and potentially multiple sample runs</t>
  </si>
  <si>
    <t>per data set included within a single Certificate of Analysis.</t>
  </si>
  <si>
    <t>Negative values shown as assay values represent the absolute value of the</t>
  </si>
  <si>
    <t>detection limit.  If there are no negative values within a data set, that indicates</t>
  </si>
  <si>
    <t>reported values are above the detection limit.</t>
  </si>
  <si>
    <t>Chain of Custody:</t>
  </si>
  <si>
    <t>Date Nexus received original samples:</t>
  </si>
  <si>
    <t>NEXUS Did Acid Digestion of filter samples</t>
  </si>
  <si>
    <t>11/09 – 11/2025</t>
  </si>
  <si>
    <t>Date University of Nebraska analysis:</t>
  </si>
  <si>
    <t>I</t>
  </si>
  <si>
    <t>Lab Sheet Batch 42 ATS Filter Digestions</t>
  </si>
  <si>
    <t xml:space="preserve">RRCM Lab ID </t>
  </si>
  <si>
    <t>matrix</t>
  </si>
  <si>
    <t>Sample Set #</t>
  </si>
  <si>
    <t>Weighed at Nexus</t>
  </si>
  <si>
    <t>Reported Weight</t>
  </si>
  <si>
    <t>AR ml</t>
  </si>
  <si>
    <t>Date</t>
  </si>
  <si>
    <t>Additions (H2O ml)</t>
  </si>
  <si>
    <t>Count</t>
  </si>
  <si>
    <t>RRCM-01469</t>
  </si>
  <si>
    <t>Zn</t>
  </si>
  <si>
    <t>RRCM-01470</t>
  </si>
  <si>
    <t>Cu</t>
  </si>
  <si>
    <t>RRCM-01471</t>
  </si>
  <si>
    <t>Al</t>
  </si>
  <si>
    <t>RRCM-01472</t>
  </si>
  <si>
    <t>RRCM-01473</t>
  </si>
  <si>
    <t>RRCM-01474</t>
  </si>
  <si>
    <t>RRCM-01475</t>
  </si>
  <si>
    <t>RRCM-01476</t>
  </si>
  <si>
    <t>RRCM-01477</t>
  </si>
  <si>
    <t>RRCM-01478</t>
  </si>
  <si>
    <t>RRCM-01479</t>
  </si>
  <si>
    <t>RRCM-01480</t>
  </si>
  <si>
    <t>RRCM-01481</t>
  </si>
  <si>
    <t>RRCM-01482</t>
  </si>
  <si>
    <t>RRCM-01483</t>
  </si>
  <si>
    <t>RRCM-01484</t>
  </si>
  <si>
    <t>RRCM-01485</t>
  </si>
  <si>
    <t>RRCM-01486</t>
  </si>
  <si>
    <t>RRCM-01487</t>
  </si>
  <si>
    <t>RRCM-01488</t>
  </si>
  <si>
    <t>RRCM-01489</t>
  </si>
  <si>
    <t>RRCM-01490</t>
  </si>
  <si>
    <t>RRCM-01491</t>
  </si>
  <si>
    <t>RRCM-01492</t>
  </si>
  <si>
    <t>RRCM-01493</t>
  </si>
  <si>
    <t>Ammonium thiosulfate extraction test – Cuddeback Lake Playa Samples –Batch 42</t>
  </si>
  <si>
    <t>Lab ID</t>
  </si>
  <si>
    <t>Sample</t>
  </si>
  <si>
    <t>units</t>
  </si>
  <si>
    <t>Element</t>
  </si>
  <si>
    <t>Li</t>
  </si>
  <si>
    <t>Be</t>
  </si>
  <si>
    <t>Na</t>
  </si>
  <si>
    <t>Mg</t>
  </si>
  <si>
    <t>P</t>
  </si>
  <si>
    <t>S</t>
  </si>
  <si>
    <t>Cl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</si>
  <si>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</si>
  <si>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</si>
  <si>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</si>
  <si>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</si>
  <si>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</si>
  <si>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</si>
  <si>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</si>
  <si>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</si>
  <si>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</si>
  <si>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</si>
  <si>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Ga</t>
  </si>
  <si>
    <t>Ge</t>
  </si>
  <si>
    <t>As</t>
  </si>
  <si>
    <t>Se</t>
  </si>
  <si>
    <t>Rb</t>
  </si>
  <si>
    <t>Sr</t>
  </si>
  <si>
    <t>Y</t>
  </si>
  <si>
    <t>Zr</t>
  </si>
  <si>
    <t xml:space="preserve">Nb </t>
  </si>
  <si>
    <t>Mo</t>
  </si>
  <si>
    <t>Ru</t>
  </si>
  <si>
    <t>Rh</t>
  </si>
  <si>
    <t>Pd</t>
  </si>
  <si>
    <t>Ag</t>
  </si>
  <si>
    <t>In</t>
  </si>
  <si>
    <t>Sb</t>
  </si>
  <si>
    <t>Te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</si>
  <si>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</si>
  <si>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</si>
  <si>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</si>
  <si>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</si>
  <si>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</si>
  <si>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</si>
  <si>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</si>
  <si>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</si>
  <si>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</si>
  <si>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</si>
  <si>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</si>
  <si>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</si>
  <si>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</si>
  <si>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</si>
  <si>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</si>
  <si>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</si>
  <si>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</si>
  <si>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</si>
  <si>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</si>
  <si>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</si>
  <si>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</si>
  <si>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</si>
  <si>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</si>
  <si>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</si>
  <si>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Tl</t>
  </si>
  <si>
    <t>Bi</t>
  </si>
  <si>
    <t>Th</t>
  </si>
  <si>
    <t>U</t>
  </si>
  <si>
    <t>A/W</t>
  </si>
  <si>
    <t>N-1</t>
  </si>
  <si>
    <t>g/tonne</t>
  </si>
  <si>
    <t>N-10</t>
  </si>
  <si>
    <t>N-11</t>
  </si>
  <si>
    <t>N-12</t>
  </si>
  <si>
    <t>N-13</t>
  </si>
  <si>
    <t>N-14</t>
  </si>
  <si>
    <t>N-15</t>
  </si>
  <si>
    <t>N-16</t>
  </si>
  <si>
    <t>N-17</t>
  </si>
  <si>
    <t>N-18</t>
  </si>
  <si>
    <t>N-19</t>
  </si>
  <si>
    <t>N-2</t>
  </si>
  <si>
    <t>N-20</t>
  </si>
  <si>
    <t>N-21</t>
  </si>
  <si>
    <t>N-22</t>
  </si>
  <si>
    <t>N-23</t>
  </si>
  <si>
    <t>N-24</t>
  </si>
  <si>
    <t>N-25</t>
  </si>
  <si>
    <t>N-3</t>
  </si>
  <si>
    <t>N-4</t>
  </si>
  <si>
    <t>N-5</t>
  </si>
  <si>
    <t>N-6</t>
  </si>
  <si>
    <t>N-7</t>
  </si>
  <si>
    <t>N-8</t>
  </si>
  <si>
    <t>N-9</t>
  </si>
  <si>
    <t>Zinc</t>
  </si>
  <si>
    <t>Copper</t>
  </si>
  <si>
    <t>Aluminum</t>
  </si>
  <si>
    <t>Activated 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</si>
</sst>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"/>
    <numFmt numFmtId="165" formatCode="0.0000"/>
    <numFmt numFmtId="166" formatCode="mm/dd/yyyy"/>
    <numFmt numFmtId="167" formatCode="0.000"/>
  </numFmts>
  <fonts count="27" x14ac:knownFonts="1"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  <font>
      <b/>
      <vertAlign val="superscript"/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8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8"/>
      <color theme="1"/>
      <name val="Aptos Narrow"/>
      <family val="2"/>
      <charset val="1"/>
    </font>
    <font>
      <b/>
      <sz val="11"/>
      <name val="Arial"/>
      <family val="2"/>
      <charset val="1"/>
    </font>
    <font>
      <b/>
      <sz val="14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8"/>
      <color theme="1"/>
      <name val="Aptos Narrow"/>
      <family val="2"/>
      <charset val="1"/>
    </font>
    <font>
      <b/>
      <sz val="12"/>
      <color rgb="FF00000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  <fill>
      <patternFill patternType="solid">
        <fgColor theme="0"/>
        <bgColor rgb="FFFFFFCC"/>
      </patternFill>
    </fill>
    <fill>
      <patternFill patternType="solid">
        <fgColor theme="5" tint="0.79989013336588644"/>
        <bgColor rgb="FFCCFFFF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83">
    <xf numFmtId="0" fontId="0" fillId="0" borderId="0" xfId="0"/>
    <xf numFmtId="0" fontId="10" fillId="0" borderId="0" xfId="0" applyFont="1" applyAlignment="1">
      <alignment vertical="center"/>
    </xf>
    <xf numFmtId="1" fontId="17" fillId="4" borderId="10" xfId="0" applyNumberFormat="1" applyFont="1" applyFill="1" applyBorder="1" applyAlignment="1">
      <alignment horizontal="center" vertical="center" wrapText="1"/>
    </xf>
    <xf numFmtId="165" fontId="17" fillId="4" borderId="10" xfId="0" applyNumberFormat="1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" fillId="0" borderId="4" xfId="0" applyFont="1" applyBorder="1"/>
    <xf numFmtId="0" fontId="8" fillId="0" borderId="4" xfId="0" applyFont="1" applyBorder="1"/>
    <xf numFmtId="0" fontId="0" fillId="0" borderId="0" xfId="0"/>
    <xf numFmtId="0" fontId="5" fillId="0" borderId="6" xfId="0" applyFont="1" applyBorder="1" applyAlignment="1">
      <alignment horizontal="center"/>
    </xf>
    <xf numFmtId="0" fontId="0" fillId="0" borderId="4" xfId="0" applyBorder="1"/>
    <xf numFmtId="0" fontId="4" fillId="0" borderId="6" xfId="0" applyFont="1" applyBorder="1" applyAlignment="1">
      <alignment horizontal="center"/>
    </xf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1" xfId="0" applyFont="1" applyBorder="1"/>
    <xf numFmtId="0" fontId="4" fillId="0" borderId="0" xfId="0" applyFont="1"/>
    <xf numFmtId="0" fontId="0" fillId="0" borderId="4" xfId="0" applyBorder="1"/>
    <xf numFmtId="0" fontId="0" fillId="0" borderId="5" xfId="0" applyBorder="1"/>
    <xf numFmtId="0" fontId="4" fillId="0" borderId="4" xfId="0" applyFont="1" applyBorder="1"/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0" fillId="0" borderId="5" xfId="0" applyBorder="1" applyAlignment="1">
      <alignment horizontal="right"/>
    </xf>
    <xf numFmtId="0" fontId="7" fillId="0" borderId="0" xfId="0" applyFont="1"/>
    <xf numFmtId="0" fontId="8" fillId="0" borderId="4" xfId="0" applyFont="1" applyBorder="1"/>
    <xf numFmtId="0" fontId="8" fillId="0" borderId="0" xfId="0" applyFont="1"/>
    <xf numFmtId="0" fontId="8" fillId="0" borderId="5" xfId="0" applyFont="1" applyBorder="1"/>
    <xf numFmtId="0" fontId="9" fillId="0" borderId="0" xfId="0" applyFont="1"/>
    <xf numFmtId="15" fontId="0" fillId="0" borderId="4" xfId="0" applyNumberFormat="1" applyBorder="1"/>
    <xf numFmtId="16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" fillId="3" borderId="0" xfId="2" applyFill="1" applyAlignment="1">
      <alignment horizontal="center" vertical="center"/>
    </xf>
    <xf numFmtId="0" fontId="13" fillId="3" borderId="0" xfId="0" applyFont="1" applyFill="1" applyAlignment="1">
      <alignment horizontal="center" wrapText="1"/>
    </xf>
    <xf numFmtId="165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2" fillId="3" borderId="10" xfId="2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164" fontId="0" fillId="0" borderId="10" xfId="0" applyNumberForma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1" fillId="3" borderId="0" xfId="2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7" fontId="4" fillId="0" borderId="10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0" fillId="0" borderId="0" xfId="0" applyNumberFormat="1"/>
    <xf numFmtId="0" fontId="24" fillId="0" borderId="0" xfId="0" applyFont="1" applyAlignment="1">
      <alignment horizontal="center"/>
    </xf>
    <xf numFmtId="165" fontId="19" fillId="0" borderId="10" xfId="0" applyNumberFormat="1" applyFon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7" fontId="25" fillId="0" borderId="10" xfId="0" applyNumberFormat="1" applyFont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6000000}"/>
    <cellStyle name="Normal 3" xfId="2" xr:uid="{00000000-0005-0000-0000-000007000000}"/>
    <cellStyle name="Normal 4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542880</xdr:colOff>
      <xdr:row>0</xdr:row>
      <xdr:rowOff>47520</xdr:rowOff>
    </xdr:from>
    <xdr:to>
      <xdr:col>7</xdr:col>
      <xdr:colOff>767160</xdr:colOff>
      <xdr:row>2</xdr:row>
      <xdr:rowOff>70920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58120" y="47520"/>
          <a:ext cx="4094640" cy="347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276480</xdr:colOff>
      <xdr:row>29</xdr:row>
      <xdr:rowOff>114120</xdr:rowOff>
    </xdr:from>
    <xdr:to>
      <xdr:col>7</xdr:col>
      <xdr:colOff>671400</xdr:colOff>
      <xdr:row>45</xdr:row>
      <xdr:rowOff>36000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5243" t="23182" r="3580" b="23253"/>
        <a:stretch/>
      </xdr:blipFill>
      <xdr:spPr>
        <a:xfrm>
          <a:off x="1506960" y="4986360"/>
          <a:ext cx="3650040" cy="277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20</xdr:col>
      <xdr:colOff>410040</xdr:colOff>
      <xdr:row>5</xdr:row>
      <xdr:rowOff>89280</xdr:rowOff>
    </xdr:from>
    <xdr:to>
      <xdr:col>32</xdr:col>
      <xdr:colOff>144720</xdr:colOff>
      <xdr:row>40</xdr:row>
      <xdr:rowOff>38880</xdr:rowOff>
    </xdr:to>
    <xdr:sp macro="" textlink="">
      <xdr:nvSpPr>
        <xdr:cNvPr id="4" name="Text Fram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4352840" y="898920"/>
          <a:ext cx="7118280" cy="602208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Filter Aqua Regia Digestion Calculations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Digest filter in a mixture of 3 parts Hydrochloric acid with 1 part Nitric Acid. Record volume of acid used.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Filter solution to remove any remaining sediment or fines.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Transfer 15 ml of solution to HDPE bottle for submission to University for ICP-MS analysis.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Calculations: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Convert ICP-MS value reported from ppb to ppm by dividing value by 1000.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Adjust for the volume of acid used. For example, id 40 ml was used, 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CONC in sample = ICP-MS value/1000  x  0.040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Correct for mass of sediment extracted. For this dataset, 10 kg of sediment was eluted.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ADJ = 1000 kg/mass of sample, or 1000/10 → 100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Final Dilution factor →  ADJ * CONC.</a:t>
          </a: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2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</a:t>
          </a:r>
          <a:endParaRPr lang="en-US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228600</xdr:colOff>
      <xdr:row>30</xdr:row>
      <xdr:rowOff>133350</xdr:rowOff>
    </xdr:from>
    <xdr:to>
      <xdr:col>13</xdr:col>
      <xdr:colOff>702362</xdr:colOff>
      <xdr:row>52</xdr:row>
      <xdr:rowOff>130119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35D988-68C8-4F64-B7CF-F8BACC9E9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8025" y="5886450"/>
          <a:ext cx="4626662" cy="41877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1"/>
  <sheetViews>
    <sheetView zoomScale="80" zoomScaleNormal="80" workbookViewId="0">
      <selection activeCell="AW50" sqref="AW50"/>
    </sheetView>
  </sheetViews>
  <sheetFormatPr defaultColWidth="8.7109375" defaultRowHeight="12.75" customHeight="1" x14ac:dyDescent="0.2"/>
  <cols>
    <col min="6" max="6" width="11.28515625" customWidth="1"/>
    <col min="8" max="8" width="12.140625" customWidth="1"/>
    <col min="10" max="10" width="13.7109375" customWidth="1"/>
    <col min="15" max="15" width="16.140625" customWidth="1"/>
    <col min="20" max="20" width="13.7109375" customWidth="1"/>
  </cols>
  <sheetData>
    <row r="1" spans="1:28" ht="14.25" x14ac:dyDescent="0.2">
      <c r="A1" s="15"/>
      <c r="B1" s="16"/>
      <c r="C1" s="16"/>
      <c r="D1" s="16"/>
      <c r="E1" s="16"/>
      <c r="F1" s="16"/>
      <c r="G1" s="16"/>
      <c r="H1" s="16"/>
      <c r="I1" s="16"/>
      <c r="J1" s="17"/>
      <c r="K1" s="18" t="s">
        <v>0</v>
      </c>
      <c r="L1" s="16"/>
      <c r="M1" s="16"/>
      <c r="N1" s="16"/>
      <c r="O1" s="16"/>
      <c r="P1" s="16"/>
      <c r="Q1" s="16"/>
      <c r="R1" s="16"/>
      <c r="S1" s="16"/>
      <c r="T1" s="17"/>
      <c r="V1" s="14" t="s">
        <v>1</v>
      </c>
      <c r="W1" s="14"/>
      <c r="X1" s="14"/>
      <c r="Y1" s="14"/>
      <c r="Z1" s="14"/>
      <c r="AA1" s="14"/>
      <c r="AB1" s="14"/>
    </row>
    <row r="2" spans="1:28" x14ac:dyDescent="0.2">
      <c r="A2" s="20"/>
      <c r="J2" s="21"/>
      <c r="K2" s="20"/>
      <c r="T2" s="21"/>
    </row>
    <row r="3" spans="1:28" x14ac:dyDescent="0.2">
      <c r="A3" s="20"/>
      <c r="J3" s="21"/>
      <c r="K3" s="22" t="s">
        <v>2</v>
      </c>
      <c r="T3" s="21"/>
    </row>
    <row r="4" spans="1:28" x14ac:dyDescent="0.2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20"/>
      <c r="T4" s="21"/>
    </row>
    <row r="5" spans="1:28" x14ac:dyDescent="0.2">
      <c r="A5" s="13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2" t="s">
        <v>5</v>
      </c>
      <c r="L5" s="12"/>
      <c r="M5" s="12"/>
      <c r="N5" s="12"/>
      <c r="O5" s="12"/>
      <c r="P5" s="12"/>
      <c r="Q5" s="12"/>
      <c r="R5" s="12"/>
      <c r="S5" s="12"/>
      <c r="T5" s="12"/>
    </row>
    <row r="6" spans="1:28" x14ac:dyDescent="0.2">
      <c r="A6" s="20"/>
      <c r="J6" s="21"/>
      <c r="K6" s="12" t="s">
        <v>6</v>
      </c>
      <c r="L6" s="12"/>
      <c r="M6" s="12"/>
      <c r="N6" s="12"/>
      <c r="O6" s="12"/>
      <c r="P6" s="12"/>
      <c r="Q6" s="12"/>
      <c r="R6" s="12"/>
      <c r="S6" s="12"/>
      <c r="T6" s="12"/>
    </row>
    <row r="7" spans="1:28" ht="23.25" x14ac:dyDescent="0.35">
      <c r="A7" s="11" t="s">
        <v>7</v>
      </c>
      <c r="B7" s="11"/>
      <c r="C7" s="11"/>
      <c r="D7" s="11"/>
      <c r="E7" s="11"/>
      <c r="F7" s="11"/>
      <c r="G7" s="11"/>
      <c r="H7" s="11"/>
      <c r="I7" s="11"/>
      <c r="J7" s="11"/>
      <c r="K7" s="12" t="s">
        <v>8</v>
      </c>
      <c r="L7" s="12"/>
      <c r="M7" s="12"/>
      <c r="N7" s="12"/>
      <c r="O7" s="12"/>
      <c r="P7" s="12"/>
      <c r="Q7" s="12"/>
      <c r="R7" s="12"/>
      <c r="S7" s="12"/>
      <c r="T7" s="12"/>
    </row>
    <row r="8" spans="1:28" ht="18" x14ac:dyDescent="0.25">
      <c r="A8" s="20"/>
      <c r="E8" s="23"/>
      <c r="J8" s="21"/>
      <c r="K8" s="12" t="s">
        <v>9</v>
      </c>
      <c r="L8" s="12"/>
      <c r="M8" s="12"/>
      <c r="N8" s="12"/>
      <c r="O8" s="12"/>
      <c r="P8" s="12"/>
      <c r="Q8" s="12"/>
      <c r="R8" s="12"/>
      <c r="S8" s="12"/>
      <c r="T8" s="12"/>
    </row>
    <row r="9" spans="1:28" x14ac:dyDescent="0.2">
      <c r="A9" s="20"/>
      <c r="J9" s="21"/>
      <c r="K9" s="12" t="s">
        <v>10</v>
      </c>
      <c r="L9" s="12"/>
      <c r="M9" s="12"/>
      <c r="N9" s="12"/>
      <c r="O9" s="12"/>
      <c r="P9" s="12"/>
      <c r="Q9" s="12"/>
      <c r="R9" s="12"/>
      <c r="S9" s="12"/>
      <c r="T9" s="12"/>
    </row>
    <row r="10" spans="1:28" x14ac:dyDescent="0.2">
      <c r="A10" s="12" t="s">
        <v>11</v>
      </c>
      <c r="B10" s="12"/>
      <c r="C10" s="12"/>
      <c r="D10" s="12"/>
      <c r="E10" s="12"/>
      <c r="F10" s="12"/>
      <c r="G10" s="19" t="s">
        <v>12</v>
      </c>
      <c r="H10" s="24">
        <v>45999</v>
      </c>
      <c r="J10" s="25"/>
      <c r="K10" s="12" t="s">
        <v>13</v>
      </c>
      <c r="L10" s="12"/>
      <c r="M10" s="12"/>
      <c r="N10" s="12"/>
      <c r="O10" s="12"/>
      <c r="P10" s="12"/>
      <c r="Q10" s="12"/>
      <c r="R10" s="12"/>
      <c r="S10" s="12"/>
      <c r="T10" s="12"/>
    </row>
    <row r="11" spans="1:28" x14ac:dyDescent="0.2">
      <c r="A11" s="12" t="s">
        <v>14</v>
      </c>
      <c r="B11" s="12"/>
      <c r="C11" s="12"/>
      <c r="D11" s="12"/>
      <c r="E11" s="12"/>
      <c r="F11" s="12"/>
      <c r="G11" s="19" t="s">
        <v>15</v>
      </c>
      <c r="H11" s="26" t="s">
        <v>16</v>
      </c>
      <c r="J11" s="27"/>
      <c r="K11" s="12" t="s">
        <v>17</v>
      </c>
      <c r="L11" s="12"/>
      <c r="M11" s="12"/>
      <c r="N11" s="12"/>
      <c r="O11" s="12"/>
      <c r="P11" s="12"/>
      <c r="Q11" s="12"/>
      <c r="R11" s="12"/>
      <c r="S11" s="12"/>
      <c r="T11" s="12"/>
    </row>
    <row r="12" spans="1:28" x14ac:dyDescent="0.2">
      <c r="A12" s="12" t="s">
        <v>18</v>
      </c>
      <c r="B12" s="12"/>
      <c r="C12" s="12"/>
      <c r="D12" s="12"/>
      <c r="E12" s="12"/>
      <c r="F12" s="12"/>
      <c r="G12" s="19" t="s">
        <v>19</v>
      </c>
      <c r="J12" s="27"/>
      <c r="K12" s="12" t="s">
        <v>20</v>
      </c>
      <c r="L12" s="12"/>
      <c r="M12" s="12"/>
      <c r="N12" s="12"/>
      <c r="O12" s="12"/>
      <c r="P12" s="12"/>
      <c r="Q12" s="12"/>
      <c r="R12" s="12"/>
      <c r="S12" s="12"/>
      <c r="T12" s="12"/>
    </row>
    <row r="13" spans="1:28" x14ac:dyDescent="0.2">
      <c r="A13" s="12" t="s">
        <v>21</v>
      </c>
      <c r="B13" s="12"/>
      <c r="C13" s="12"/>
      <c r="D13" s="12"/>
      <c r="E13" s="12"/>
      <c r="F13" s="12"/>
      <c r="J13" s="21"/>
      <c r="K13" s="12" t="s">
        <v>22</v>
      </c>
      <c r="L13" s="12"/>
      <c r="M13" s="12"/>
      <c r="N13" s="12"/>
      <c r="O13" s="12"/>
      <c r="P13" s="12"/>
      <c r="Q13" s="12"/>
      <c r="R13" s="12"/>
      <c r="S13" s="12"/>
      <c r="T13" s="12"/>
    </row>
    <row r="14" spans="1:28" x14ac:dyDescent="0.2">
      <c r="A14" s="20"/>
      <c r="J14" s="21"/>
      <c r="K14" s="12" t="s">
        <v>23</v>
      </c>
      <c r="L14" s="12"/>
      <c r="M14" s="12"/>
      <c r="N14" s="12"/>
      <c r="O14" s="12"/>
      <c r="P14" s="12"/>
      <c r="Q14" s="12"/>
      <c r="R14" s="12"/>
      <c r="S14" s="12"/>
      <c r="T14" s="12"/>
    </row>
    <row r="15" spans="1:28" x14ac:dyDescent="0.2">
      <c r="A15" s="12" t="s">
        <v>24</v>
      </c>
      <c r="B15" s="12"/>
      <c r="J15" s="21"/>
      <c r="K15" s="12" t="s">
        <v>25</v>
      </c>
      <c r="L15" s="12"/>
      <c r="M15" s="12"/>
      <c r="N15" s="12"/>
      <c r="O15" s="12"/>
      <c r="P15" s="12"/>
      <c r="Q15" s="12"/>
      <c r="R15" s="12"/>
      <c r="S15" s="12"/>
      <c r="T15" s="12"/>
    </row>
    <row r="16" spans="1:28" x14ac:dyDescent="0.2">
      <c r="A16" s="20"/>
      <c r="J16" s="21"/>
      <c r="K16" s="12" t="s">
        <v>26</v>
      </c>
      <c r="L16" s="12"/>
      <c r="M16" s="12"/>
      <c r="N16" s="12"/>
      <c r="O16" s="12"/>
      <c r="P16" s="12"/>
      <c r="Q16" s="12"/>
      <c r="R16" s="12"/>
      <c r="S16" s="12"/>
      <c r="T16" s="12"/>
    </row>
    <row r="17" spans="1:20" ht="14.25" x14ac:dyDescent="0.2">
      <c r="A17" s="22" t="s">
        <v>27</v>
      </c>
      <c r="D17" s="10" t="s">
        <v>28</v>
      </c>
      <c r="E17" s="10"/>
      <c r="F17" s="10"/>
      <c r="J17" s="21"/>
      <c r="K17" s="12" t="s">
        <v>29</v>
      </c>
      <c r="L17" s="12"/>
      <c r="M17" s="12"/>
      <c r="N17" s="12"/>
      <c r="O17" s="12"/>
      <c r="P17" s="12"/>
      <c r="Q17" s="12"/>
      <c r="R17" s="12"/>
      <c r="S17" s="12"/>
      <c r="T17" s="12"/>
    </row>
    <row r="18" spans="1:20" x14ac:dyDescent="0.2">
      <c r="A18" s="22"/>
      <c r="D18" s="10"/>
      <c r="E18" s="10"/>
      <c r="F18" s="10"/>
      <c r="J18" s="21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spans="1:20" x14ac:dyDescent="0.2">
      <c r="A19" s="20"/>
      <c r="D19" t="s">
        <v>30</v>
      </c>
      <c r="J19" s="21"/>
      <c r="K19" s="12" t="s">
        <v>31</v>
      </c>
      <c r="L19" s="12"/>
      <c r="M19" s="12"/>
      <c r="N19" s="12"/>
      <c r="O19" s="12"/>
      <c r="P19" s="12"/>
      <c r="Q19" s="12"/>
      <c r="R19" s="12"/>
      <c r="S19" s="12"/>
      <c r="T19" s="12"/>
    </row>
    <row r="20" spans="1:20" x14ac:dyDescent="0.2">
      <c r="A20" s="20"/>
      <c r="D20" t="s">
        <v>32</v>
      </c>
      <c r="G20" s="28"/>
      <c r="J20" s="21"/>
      <c r="K20" s="12" t="s">
        <v>33</v>
      </c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2">
      <c r="A21" s="20"/>
      <c r="J21" s="21"/>
      <c r="K21" s="12" t="s">
        <v>34</v>
      </c>
      <c r="L21" s="12"/>
      <c r="M21" s="12"/>
      <c r="N21" s="12"/>
      <c r="O21" s="12"/>
      <c r="P21" s="12"/>
      <c r="Q21" s="12"/>
      <c r="R21" s="12"/>
      <c r="S21" s="12"/>
      <c r="T21" s="12"/>
    </row>
    <row r="22" spans="1:20" x14ac:dyDescent="0.2">
      <c r="A22" s="20"/>
      <c r="J22" s="21"/>
      <c r="K22" s="12" t="s">
        <v>35</v>
      </c>
      <c r="L22" s="12"/>
      <c r="M22" s="12"/>
      <c r="N22" s="12"/>
      <c r="O22" s="12"/>
      <c r="P22" s="12"/>
      <c r="Q22" s="12"/>
      <c r="R22" s="12"/>
      <c r="S22" s="12"/>
      <c r="T22" s="12"/>
    </row>
    <row r="23" spans="1:20" ht="14.25" x14ac:dyDescent="0.2">
      <c r="A23" s="22" t="s">
        <v>36</v>
      </c>
      <c r="D23" s="10" t="s">
        <v>37</v>
      </c>
      <c r="E23" s="10"/>
      <c r="F23" s="10"/>
      <c r="G23" s="10"/>
      <c r="H23" s="10"/>
      <c r="I23" s="10"/>
      <c r="J23" s="21"/>
      <c r="K23" s="29"/>
      <c r="L23" s="30"/>
      <c r="M23" s="30"/>
      <c r="N23" s="30"/>
      <c r="O23" s="30"/>
      <c r="P23" s="30"/>
      <c r="Q23" s="30"/>
      <c r="R23" s="30"/>
      <c r="S23" s="30"/>
      <c r="T23" s="31"/>
    </row>
    <row r="24" spans="1:20" x14ac:dyDescent="0.2">
      <c r="A24" s="20"/>
      <c r="D24" s="10" t="s">
        <v>38</v>
      </c>
      <c r="E24" s="10"/>
      <c r="F24" s="10"/>
      <c r="G24" s="10"/>
      <c r="H24" s="10"/>
      <c r="I24" s="10"/>
      <c r="J24" s="21"/>
      <c r="K24" s="9" t="s">
        <v>39</v>
      </c>
      <c r="L24" s="9"/>
      <c r="M24" s="9"/>
      <c r="N24" s="9"/>
      <c r="O24" s="9"/>
      <c r="P24" s="9"/>
      <c r="Q24" s="9"/>
      <c r="R24" s="9"/>
      <c r="S24" s="9"/>
      <c r="T24" s="31"/>
    </row>
    <row r="25" spans="1:20" x14ac:dyDescent="0.2">
      <c r="A25" s="20"/>
      <c r="D25" s="10" t="s">
        <v>40</v>
      </c>
      <c r="E25" s="10"/>
      <c r="F25" s="10"/>
      <c r="G25" s="10"/>
      <c r="H25" s="10"/>
      <c r="I25" s="10"/>
      <c r="J25" s="21"/>
      <c r="K25" s="9"/>
      <c r="L25" s="9"/>
      <c r="M25" s="9"/>
      <c r="N25" s="9"/>
      <c r="O25" s="9"/>
      <c r="P25" s="9"/>
      <c r="Q25" s="9"/>
      <c r="R25" s="9"/>
      <c r="S25" s="9"/>
      <c r="T25" s="31"/>
    </row>
    <row r="26" spans="1:20" x14ac:dyDescent="0.2">
      <c r="A26" s="20"/>
      <c r="D26" s="10" t="s">
        <v>41</v>
      </c>
      <c r="E26" s="10"/>
      <c r="F26" s="10"/>
      <c r="G26" s="10"/>
      <c r="H26" s="10"/>
      <c r="I26" s="10"/>
      <c r="J26" s="21"/>
      <c r="K26" s="9" t="s">
        <v>42</v>
      </c>
      <c r="L26" s="9"/>
      <c r="M26" s="9"/>
      <c r="N26" s="9"/>
      <c r="O26" s="9"/>
      <c r="P26" s="9"/>
      <c r="Q26" s="9"/>
      <c r="R26" s="9"/>
      <c r="S26" s="9"/>
      <c r="T26" s="31"/>
    </row>
    <row r="27" spans="1:20" x14ac:dyDescent="0.2">
      <c r="A27" s="20"/>
      <c r="D27" s="10" t="s">
        <v>43</v>
      </c>
      <c r="E27" s="10"/>
      <c r="F27" s="10"/>
      <c r="G27" s="10"/>
      <c r="H27" s="10"/>
      <c r="I27" s="10"/>
      <c r="J27" s="21"/>
      <c r="K27" s="9" t="s">
        <v>44</v>
      </c>
      <c r="L27" s="9"/>
      <c r="M27" s="9"/>
      <c r="N27" s="9"/>
      <c r="O27" s="9"/>
      <c r="P27" s="9"/>
      <c r="Q27" s="9"/>
      <c r="R27" s="9"/>
      <c r="S27" s="9"/>
      <c r="T27" s="31"/>
    </row>
    <row r="28" spans="1:20" x14ac:dyDescent="0.2">
      <c r="A28" s="20"/>
      <c r="D28" s="10" t="s">
        <v>45</v>
      </c>
      <c r="E28" s="10"/>
      <c r="F28" s="10"/>
      <c r="G28" s="10"/>
      <c r="H28" s="10"/>
      <c r="I28" s="10"/>
      <c r="J28" s="21"/>
      <c r="K28" s="9" t="s">
        <v>46</v>
      </c>
      <c r="L28" s="9"/>
      <c r="M28" s="9"/>
      <c r="N28" s="9"/>
      <c r="O28" s="9"/>
      <c r="P28" s="9"/>
      <c r="Q28" s="9"/>
      <c r="R28" s="9"/>
      <c r="S28" s="9"/>
      <c r="T28" s="31"/>
    </row>
    <row r="29" spans="1:20" x14ac:dyDescent="0.2">
      <c r="A29" s="20"/>
      <c r="D29" s="10" t="s">
        <v>47</v>
      </c>
      <c r="E29" s="10"/>
      <c r="F29" s="10"/>
      <c r="G29" s="10"/>
      <c r="H29" s="10"/>
      <c r="I29" s="10"/>
      <c r="J29" s="21"/>
      <c r="K29" s="9" t="s">
        <v>48</v>
      </c>
      <c r="L29" s="9"/>
      <c r="M29" s="9"/>
      <c r="N29" s="9"/>
      <c r="O29" s="9"/>
      <c r="P29" s="9"/>
      <c r="Q29" s="9"/>
      <c r="R29" s="9"/>
      <c r="S29" s="9"/>
      <c r="T29" s="21"/>
    </row>
    <row r="30" spans="1:20" x14ac:dyDescent="0.2">
      <c r="A30" s="20"/>
      <c r="J30" s="21"/>
      <c r="K30" s="20"/>
      <c r="T30" s="21"/>
    </row>
    <row r="31" spans="1:20" ht="14.25" x14ac:dyDescent="0.2">
      <c r="A31" s="20"/>
      <c r="J31" s="21"/>
      <c r="K31" s="8" t="s">
        <v>49</v>
      </c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2">
      <c r="A32" s="20"/>
      <c r="I32" s="21"/>
      <c r="J32" s="21"/>
      <c r="K32" s="20"/>
      <c r="T32" s="21"/>
    </row>
    <row r="33" spans="1:20" ht="15" x14ac:dyDescent="0.2">
      <c r="A33" s="20"/>
      <c r="D33" s="32"/>
      <c r="I33" s="21"/>
      <c r="J33" s="21"/>
      <c r="K33" s="12" t="s">
        <v>50</v>
      </c>
      <c r="L33" s="12"/>
      <c r="M33" s="10" t="s">
        <v>51</v>
      </c>
      <c r="N33" s="10"/>
      <c r="O33" s="10"/>
      <c r="P33" s="10"/>
      <c r="Q33" s="10"/>
      <c r="R33" s="10"/>
      <c r="S33" s="10"/>
      <c r="T33" s="21"/>
    </row>
    <row r="34" spans="1:20" ht="15" x14ac:dyDescent="0.2">
      <c r="A34" s="20"/>
      <c r="D34" s="32"/>
      <c r="I34" s="21"/>
      <c r="J34" s="21"/>
      <c r="M34" s="10" t="s">
        <v>52</v>
      </c>
      <c r="N34" s="10"/>
      <c r="O34" s="10"/>
      <c r="P34" s="10"/>
      <c r="Q34" s="10"/>
      <c r="R34" s="10"/>
      <c r="S34" s="10"/>
      <c r="T34" s="21"/>
    </row>
    <row r="35" spans="1:20" ht="15" x14ac:dyDescent="0.2">
      <c r="A35" s="20"/>
      <c r="D35" s="32"/>
      <c r="I35" s="21"/>
      <c r="J35" s="21"/>
      <c r="M35" s="10" t="s">
        <v>53</v>
      </c>
      <c r="N35" s="10"/>
      <c r="O35" s="10"/>
      <c r="P35" s="10"/>
      <c r="Q35" s="10"/>
      <c r="R35" s="10"/>
      <c r="S35" s="10"/>
      <c r="T35" s="21"/>
    </row>
    <row r="36" spans="1:20" ht="15" x14ac:dyDescent="0.2">
      <c r="A36" s="20"/>
      <c r="D36" s="32"/>
      <c r="I36" s="21"/>
      <c r="J36" s="21"/>
      <c r="T36" s="21"/>
    </row>
    <row r="37" spans="1:20" ht="15" x14ac:dyDescent="0.2">
      <c r="A37" s="20"/>
      <c r="E37" s="32"/>
      <c r="J37" s="21"/>
      <c r="M37" s="10" t="s">
        <v>54</v>
      </c>
      <c r="N37" s="10"/>
      <c r="O37" s="10"/>
      <c r="P37" s="10"/>
      <c r="Q37" s="10"/>
      <c r="R37" s="10"/>
      <c r="S37" s="10"/>
      <c r="T37" s="21"/>
    </row>
    <row r="38" spans="1:20" ht="15" x14ac:dyDescent="0.2">
      <c r="A38" s="20"/>
      <c r="E38" s="32"/>
      <c r="J38" s="21"/>
      <c r="M38" s="10" t="s">
        <v>55</v>
      </c>
      <c r="N38" s="10"/>
      <c r="O38" s="10"/>
      <c r="P38" s="10"/>
      <c r="Q38" s="10"/>
      <c r="R38" s="10"/>
      <c r="S38" s="10"/>
      <c r="T38" s="21"/>
    </row>
    <row r="39" spans="1:20" ht="15" x14ac:dyDescent="0.2">
      <c r="A39" s="20"/>
      <c r="E39" s="32"/>
      <c r="J39" s="21"/>
      <c r="K39" s="20"/>
      <c r="M39" s="10" t="s">
        <v>56</v>
      </c>
      <c r="N39" s="10"/>
      <c r="O39" s="10"/>
      <c r="P39" s="10"/>
      <c r="T39" s="21"/>
    </row>
    <row r="40" spans="1:20" ht="15" x14ac:dyDescent="0.2">
      <c r="A40" s="20"/>
      <c r="E40" s="32"/>
      <c r="J40" s="21"/>
      <c r="K40" s="20"/>
      <c r="T40" s="21"/>
    </row>
    <row r="41" spans="1:20" ht="15" x14ac:dyDescent="0.2">
      <c r="A41" s="20"/>
      <c r="E41" s="32"/>
      <c r="J41" s="21"/>
      <c r="K41" s="20"/>
      <c r="T41" s="21"/>
    </row>
    <row r="42" spans="1:20" x14ac:dyDescent="0.2">
      <c r="A42" s="33"/>
      <c r="J42" s="21"/>
      <c r="K42" s="22" t="s">
        <v>57</v>
      </c>
      <c r="T42" s="21"/>
    </row>
    <row r="43" spans="1:20" x14ac:dyDescent="0.2">
      <c r="A43" s="20"/>
      <c r="J43" s="21"/>
      <c r="K43" s="9" t="s">
        <v>58</v>
      </c>
      <c r="L43" s="9"/>
      <c r="M43" s="9"/>
      <c r="N43" s="9"/>
      <c r="O43" s="34">
        <v>45969</v>
      </c>
      <c r="T43" s="21"/>
    </row>
    <row r="44" spans="1:20" x14ac:dyDescent="0.2">
      <c r="A44" s="20"/>
      <c r="J44" s="21"/>
      <c r="K44" s="9"/>
      <c r="L44" s="9"/>
      <c r="M44" s="9"/>
      <c r="N44" s="9"/>
      <c r="O44" s="34"/>
      <c r="T44" s="21"/>
    </row>
    <row r="45" spans="1:20" x14ac:dyDescent="0.2">
      <c r="A45" s="20"/>
      <c r="J45" s="21"/>
      <c r="K45" s="9" t="s">
        <v>59</v>
      </c>
      <c r="L45" s="9"/>
      <c r="M45" s="9"/>
      <c r="N45" s="9"/>
      <c r="O45" s="34" t="s">
        <v>60</v>
      </c>
      <c r="T45" s="21"/>
    </row>
    <row r="46" spans="1:20" x14ac:dyDescent="0.2">
      <c r="A46" s="20"/>
      <c r="J46" s="21"/>
      <c r="K46" s="9" t="s">
        <v>61</v>
      </c>
      <c r="L46" s="9"/>
      <c r="M46" s="9"/>
      <c r="N46" s="9"/>
      <c r="O46" s="34">
        <v>45999</v>
      </c>
      <c r="T46" s="21"/>
    </row>
    <row r="47" spans="1:20" x14ac:dyDescent="0.2">
      <c r="A47" s="20"/>
      <c r="J47" s="21"/>
      <c r="K47" s="12"/>
      <c r="L47" s="12"/>
      <c r="M47" s="12"/>
      <c r="N47" s="12"/>
      <c r="O47" s="12"/>
      <c r="P47" s="12"/>
      <c r="Q47" s="12"/>
      <c r="T47" s="21"/>
    </row>
    <row r="48" spans="1:20" x14ac:dyDescent="0.2">
      <c r="A48" s="20"/>
      <c r="J48" s="21"/>
      <c r="K48" s="20"/>
      <c r="T48" s="21"/>
    </row>
    <row r="49" spans="1:49" x14ac:dyDescent="0.2">
      <c r="A49" s="20"/>
      <c r="J49" s="21"/>
      <c r="K49" s="20"/>
      <c r="T49" s="21"/>
      <c r="AV49">
        <f>200*0.025/1000</f>
        <v>5.0000000000000001E-3</v>
      </c>
      <c r="AW49">
        <f>AV49*(1000/10)</f>
        <v>0.5</v>
      </c>
    </row>
    <row r="50" spans="1:49" x14ac:dyDescent="0.2">
      <c r="A50" s="20"/>
      <c r="J50" s="21"/>
      <c r="K50" s="20"/>
      <c r="T50" s="21"/>
      <c r="Y50" t="s">
        <v>62</v>
      </c>
    </row>
    <row r="51" spans="1:49" x14ac:dyDescent="0.2">
      <c r="A51" s="20"/>
      <c r="J51" s="21"/>
      <c r="K51" s="20"/>
      <c r="T51" s="21"/>
    </row>
    <row r="52" spans="1:49" x14ac:dyDescent="0.2">
      <c r="A52" s="20"/>
      <c r="J52" s="21"/>
      <c r="K52" s="20"/>
      <c r="T52" s="21"/>
    </row>
    <row r="53" spans="1:49" x14ac:dyDescent="0.2">
      <c r="A53" s="20"/>
      <c r="J53" s="21"/>
      <c r="K53" s="20"/>
      <c r="T53" s="21"/>
    </row>
    <row r="54" spans="1:49" x14ac:dyDescent="0.2">
      <c r="A54" s="35"/>
      <c r="B54" s="36"/>
      <c r="C54" s="36"/>
      <c r="D54" s="36"/>
      <c r="E54" s="36"/>
      <c r="F54" s="36"/>
      <c r="G54" s="36"/>
      <c r="H54" s="36"/>
      <c r="I54" s="36"/>
      <c r="J54" s="37"/>
      <c r="K54" s="35"/>
      <c r="L54" s="36"/>
      <c r="M54" s="36"/>
      <c r="N54" s="36"/>
      <c r="O54" s="36"/>
      <c r="P54" s="36"/>
      <c r="Q54" s="36"/>
      <c r="R54" s="36"/>
      <c r="S54" s="36"/>
      <c r="T54" s="37"/>
    </row>
    <row r="55" spans="1:49" x14ac:dyDescent="0.2"/>
    <row r="56" spans="1:49" x14ac:dyDescent="0.2"/>
    <row r="57" spans="1:49" x14ac:dyDescent="0.2"/>
    <row r="58" spans="1:49" x14ac:dyDescent="0.2"/>
    <row r="59" spans="1:49" x14ac:dyDescent="0.2"/>
    <row r="60" spans="1:49" x14ac:dyDescent="0.2"/>
    <row r="61" spans="1:49" x14ac:dyDescent="0.2"/>
    <row r="62" spans="1:49" x14ac:dyDescent="0.2"/>
    <row r="63" spans="1:49" x14ac:dyDescent="0.2"/>
    <row r="64" spans="1:49" x14ac:dyDescent="0.2"/>
    <row r="65" spans="1:25" x14ac:dyDescent="0.2"/>
    <row r="66" spans="1:25" x14ac:dyDescent="0.2"/>
    <row r="67" spans="1:25" x14ac:dyDescent="0.2"/>
    <row r="68" spans="1:25" x14ac:dyDescent="0.2"/>
    <row r="69" spans="1:25" x14ac:dyDescent="0.2"/>
    <row r="70" spans="1:25" x14ac:dyDescent="0.2"/>
    <row r="71" spans="1:25" x14ac:dyDescent="0.2"/>
    <row r="72" spans="1:25" x14ac:dyDescent="0.2"/>
    <row r="73" spans="1:25" x14ac:dyDescent="0.2"/>
    <row r="74" spans="1:25" x14ac:dyDescent="0.2"/>
    <row r="75" spans="1:25" x14ac:dyDescent="0.2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x14ac:dyDescent="0.2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x14ac:dyDescent="0.2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x14ac:dyDescent="0.2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x14ac:dyDescent="0.2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x14ac:dyDescent="0.2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1:20" x14ac:dyDescent="0.2">
      <c r="K81" s="30"/>
      <c r="L81" s="30"/>
      <c r="M81" s="30"/>
      <c r="N81" s="30"/>
      <c r="O81" s="30"/>
      <c r="P81" s="30"/>
      <c r="Q81" s="30"/>
      <c r="R81" s="30"/>
      <c r="S81" s="30"/>
      <c r="T81" s="30"/>
    </row>
  </sheetData>
  <mergeCells count="54">
    <mergeCell ref="K43:N43"/>
    <mergeCell ref="K44:N44"/>
    <mergeCell ref="K45:N45"/>
    <mergeCell ref="K46:N46"/>
    <mergeCell ref="K47:Q47"/>
    <mergeCell ref="M34:S34"/>
    <mergeCell ref="M35:S35"/>
    <mergeCell ref="M37:S37"/>
    <mergeCell ref="M38:S38"/>
    <mergeCell ref="M39:P39"/>
    <mergeCell ref="D29:I29"/>
    <mergeCell ref="K29:S29"/>
    <mergeCell ref="K31:T31"/>
    <mergeCell ref="K33:L33"/>
    <mergeCell ref="M33:S33"/>
    <mergeCell ref="D26:I26"/>
    <mergeCell ref="K26:S26"/>
    <mergeCell ref="D27:I27"/>
    <mergeCell ref="K27:S27"/>
    <mergeCell ref="D28:I28"/>
    <mergeCell ref="K28:S28"/>
    <mergeCell ref="D23:I23"/>
    <mergeCell ref="D24:I24"/>
    <mergeCell ref="K24:S24"/>
    <mergeCell ref="D25:I25"/>
    <mergeCell ref="K25:S25"/>
    <mergeCell ref="D18:F18"/>
    <mergeCell ref="K19:T19"/>
    <mergeCell ref="K20:T20"/>
    <mergeCell ref="K21:T21"/>
    <mergeCell ref="K22:T22"/>
    <mergeCell ref="K14:T14"/>
    <mergeCell ref="A15:B15"/>
    <mergeCell ref="K15:T15"/>
    <mergeCell ref="K16:T16"/>
    <mergeCell ref="D17:F17"/>
    <mergeCell ref="K17:T17"/>
    <mergeCell ref="A11:F11"/>
    <mergeCell ref="K11:T11"/>
    <mergeCell ref="A12:F12"/>
    <mergeCell ref="K12:T12"/>
    <mergeCell ref="A13:F13"/>
    <mergeCell ref="K13:T13"/>
    <mergeCell ref="A7:J7"/>
    <mergeCell ref="K7:T7"/>
    <mergeCell ref="K8:T8"/>
    <mergeCell ref="K9:T9"/>
    <mergeCell ref="A10:F10"/>
    <mergeCell ref="K10:T10"/>
    <mergeCell ref="V1:AB1"/>
    <mergeCell ref="A4:J4"/>
    <mergeCell ref="A5:J5"/>
    <mergeCell ref="K5:T5"/>
    <mergeCell ref="K6:T6"/>
  </mergeCells>
  <pageMargins left="0.7" right="0.7" top="0.75" bottom="0.75" header="0.511811023622047" footer="0.3"/>
  <pageSetup orientation="portrait" horizontalDpi="300" verticalDpi="300"/>
  <headerFooter>
    <oddFooter>&amp;L&amp;"Arial,Bold"&amp;12Nexus Geos LLC
Certificate of Analysis&amp;R&amp;"Arial,Bold"&amp;12Page x of x
xx/xx/2023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48576"/>
  <sheetViews>
    <sheetView topLeftCell="E1" zoomScaleNormal="100" workbookViewId="0">
      <selection activeCell="K5" sqref="K5:K29"/>
    </sheetView>
  </sheetViews>
  <sheetFormatPr defaultColWidth="11.5703125" defaultRowHeight="15" customHeight="1" x14ac:dyDescent="0.2"/>
  <cols>
    <col min="1" max="1" width="20.85546875" style="38" customWidth="1"/>
    <col min="2" max="2" width="20.28515625" style="38" customWidth="1"/>
    <col min="3" max="3" width="24.42578125" style="38" customWidth="1"/>
    <col min="4" max="4" width="39.7109375" style="38" customWidth="1"/>
    <col min="5" max="5" width="19.5703125" style="38" customWidth="1"/>
    <col min="6" max="9" width="11.5703125" style="38"/>
    <col min="11" max="11" width="16" customWidth="1"/>
    <col min="17" max="17" width="30.28515625" customWidth="1"/>
    <col min="21" max="21" width="16.85546875" customWidth="1"/>
  </cols>
  <sheetData>
    <row r="1" spans="1:22" x14ac:dyDescent="0.25">
      <c r="A1" s="39"/>
      <c r="B1" s="40"/>
      <c r="C1" s="41"/>
      <c r="D1" s="42"/>
      <c r="E1" s="43"/>
      <c r="F1" s="43"/>
      <c r="G1" s="43"/>
      <c r="H1" s="30"/>
      <c r="I1" s="7" t="s">
        <v>63</v>
      </c>
      <c r="J1" s="7"/>
      <c r="K1" s="7"/>
      <c r="L1" s="7"/>
      <c r="M1" s="7"/>
      <c r="N1" s="7"/>
      <c r="O1" s="7"/>
      <c r="P1" s="7"/>
      <c r="Q1" s="7"/>
      <c r="R1" s="44"/>
      <c r="S1" s="45"/>
      <c r="T1" s="45"/>
      <c r="U1" s="45"/>
      <c r="V1" s="34"/>
    </row>
    <row r="2" spans="1:22" ht="17.45" customHeight="1" x14ac:dyDescent="0.25">
      <c r="A2" s="39"/>
      <c r="B2" s="40"/>
      <c r="C2" s="41"/>
      <c r="D2" s="42"/>
      <c r="E2" s="43"/>
      <c r="F2" s="43"/>
      <c r="G2" s="43"/>
      <c r="H2" s="30"/>
      <c r="I2" s="46"/>
      <c r="J2" s="47"/>
      <c r="K2" s="48"/>
      <c r="L2" s="47"/>
      <c r="M2" s="48"/>
      <c r="N2" s="48"/>
      <c r="O2" s="49"/>
      <c r="P2" s="47"/>
      <c r="Q2" s="48"/>
      <c r="R2" s="44"/>
      <c r="S2" s="45"/>
      <c r="T2" s="45"/>
      <c r="U2" s="45"/>
      <c r="V2" s="34"/>
    </row>
    <row r="3" spans="1:22" ht="15" customHeight="1" x14ac:dyDescent="0.25">
      <c r="A3" s="39"/>
      <c r="B3" s="40"/>
      <c r="C3" s="41"/>
      <c r="D3" s="42"/>
      <c r="E3" s="43"/>
      <c r="F3" s="43"/>
      <c r="G3" s="43"/>
      <c r="H3" s="30"/>
      <c r="I3" s="46"/>
      <c r="J3" s="6" t="s">
        <v>64</v>
      </c>
      <c r="K3" s="5" t="s">
        <v>65</v>
      </c>
      <c r="L3" s="4" t="s">
        <v>66</v>
      </c>
      <c r="M3" s="3" t="s">
        <v>67</v>
      </c>
      <c r="N3" s="3" t="s">
        <v>68</v>
      </c>
      <c r="O3" s="2" t="s">
        <v>69</v>
      </c>
      <c r="P3" s="4" t="s">
        <v>70</v>
      </c>
      <c r="Q3" s="4" t="s">
        <v>71</v>
      </c>
      <c r="R3" s="44"/>
      <c r="S3" s="45"/>
      <c r="T3" s="45"/>
      <c r="U3" s="45"/>
      <c r="V3" s="34"/>
    </row>
    <row r="4" spans="1:22" x14ac:dyDescent="0.25">
      <c r="A4" s="39"/>
      <c r="B4" s="40"/>
      <c r="C4" s="41"/>
      <c r="D4" s="42"/>
      <c r="E4" s="43"/>
      <c r="F4" s="43"/>
      <c r="G4" s="43"/>
      <c r="H4" s="30"/>
      <c r="I4" s="46" t="s">
        <v>72</v>
      </c>
      <c r="J4" s="6"/>
      <c r="K4" s="5"/>
      <c r="L4" s="4"/>
      <c r="M4" s="3"/>
      <c r="N4" s="3"/>
      <c r="O4" s="2"/>
      <c r="P4" s="4"/>
      <c r="Q4" s="4"/>
      <c r="R4" s="44"/>
      <c r="S4" s="44"/>
      <c r="T4" s="45"/>
      <c r="U4" s="45"/>
      <c r="V4" s="34"/>
    </row>
    <row r="5" spans="1:22" x14ac:dyDescent="0.25">
      <c r="A5" s="39"/>
      <c r="B5" s="40"/>
      <c r="C5" s="41"/>
      <c r="D5" s="42"/>
      <c r="E5" s="43"/>
      <c r="F5" s="43"/>
      <c r="G5" s="43"/>
      <c r="H5" s="30"/>
      <c r="I5" s="46">
        <v>1</v>
      </c>
      <c r="J5" s="50" t="s">
        <v>73</v>
      </c>
      <c r="K5" s="51" t="s">
        <v>195</v>
      </c>
      <c r="L5" s="52">
        <v>42</v>
      </c>
      <c r="M5" s="53">
        <v>0.2984</v>
      </c>
      <c r="N5" s="50">
        <v>0.7</v>
      </c>
      <c r="O5" s="54">
        <v>25</v>
      </c>
      <c r="P5" s="55">
        <v>45970</v>
      </c>
      <c r="Q5" s="48">
        <v>0</v>
      </c>
      <c r="R5" s="44"/>
      <c r="S5" s="44"/>
      <c r="T5" s="45"/>
      <c r="U5" s="45"/>
      <c r="V5" s="34"/>
    </row>
    <row r="6" spans="1:22" x14ac:dyDescent="0.25">
      <c r="A6" s="39"/>
      <c r="B6" s="40"/>
      <c r="C6" s="39"/>
      <c r="D6" s="56"/>
      <c r="E6" s="43"/>
      <c r="F6" s="43"/>
      <c r="G6" s="43"/>
      <c r="H6" s="30"/>
      <c r="I6" s="46">
        <v>2</v>
      </c>
      <c r="J6" s="50" t="s">
        <v>75</v>
      </c>
      <c r="K6" s="51" t="s">
        <v>196</v>
      </c>
      <c r="L6" s="52">
        <v>42</v>
      </c>
      <c r="M6" s="53">
        <v>4.7827000000000002</v>
      </c>
      <c r="N6" s="50">
        <v>5</v>
      </c>
      <c r="O6" s="54">
        <v>30</v>
      </c>
      <c r="P6" s="55">
        <v>45970</v>
      </c>
      <c r="Q6" s="48">
        <v>0</v>
      </c>
      <c r="R6" s="44"/>
      <c r="S6" s="44"/>
      <c r="T6" s="45"/>
      <c r="U6" s="45"/>
      <c r="V6" s="34"/>
    </row>
    <row r="7" spans="1:22" x14ac:dyDescent="0.25">
      <c r="A7" s="26"/>
      <c r="B7"/>
      <c r="C7" s="26"/>
      <c r="D7" s="26"/>
      <c r="E7" s="26"/>
      <c r="F7" s="26"/>
      <c r="G7" s="26"/>
      <c r="H7"/>
      <c r="I7" s="46">
        <v>3</v>
      </c>
      <c r="J7" s="50" t="s">
        <v>77</v>
      </c>
      <c r="K7" s="51" t="s">
        <v>197</v>
      </c>
      <c r="L7" s="52">
        <v>42</v>
      </c>
      <c r="M7" s="53">
        <v>9.7317999999999998</v>
      </c>
      <c r="N7" s="50">
        <v>10.1</v>
      </c>
      <c r="O7" s="54">
        <v>40</v>
      </c>
      <c r="P7" s="55">
        <v>45970</v>
      </c>
      <c r="Q7" s="48">
        <v>100</v>
      </c>
    </row>
    <row r="8" spans="1:22" x14ac:dyDescent="0.25">
      <c r="A8" s="26"/>
      <c r="B8"/>
      <c r="C8" s="26"/>
      <c r="D8" s="26"/>
      <c r="E8" s="26"/>
      <c r="F8" s="26"/>
      <c r="G8" s="26"/>
      <c r="H8"/>
      <c r="I8" s="46">
        <v>4</v>
      </c>
      <c r="J8" s="50" t="s">
        <v>79</v>
      </c>
      <c r="K8" s="51" t="s">
        <v>198</v>
      </c>
      <c r="L8" s="52">
        <v>42</v>
      </c>
      <c r="M8" s="53">
        <v>6.883</v>
      </c>
      <c r="N8" s="50">
        <v>7.8</v>
      </c>
      <c r="O8" s="54">
        <v>40</v>
      </c>
      <c r="P8" s="55">
        <v>45970</v>
      </c>
      <c r="Q8" s="48">
        <v>0</v>
      </c>
    </row>
    <row r="9" spans="1:22" ht="15.75" x14ac:dyDescent="0.25">
      <c r="A9" s="57"/>
      <c r="B9" s="58"/>
      <c r="C9" s="59"/>
      <c r="D9" s="59"/>
      <c r="E9" s="60"/>
      <c r="F9" s="60"/>
      <c r="G9" s="60"/>
      <c r="H9"/>
      <c r="I9" s="46">
        <v>5</v>
      </c>
      <c r="J9" s="50" t="s">
        <v>80</v>
      </c>
      <c r="K9" s="51" t="s">
        <v>195</v>
      </c>
      <c r="L9" s="52">
        <v>42</v>
      </c>
      <c r="M9" s="53">
        <v>8.9669000000000008</v>
      </c>
      <c r="N9" s="50">
        <v>8.5</v>
      </c>
      <c r="O9" s="54">
        <v>30</v>
      </c>
      <c r="P9" s="55">
        <v>45970</v>
      </c>
      <c r="Q9" s="48">
        <v>0</v>
      </c>
    </row>
    <row r="10" spans="1:22" x14ac:dyDescent="0.25">
      <c r="A10" s="59"/>
      <c r="B10" s="59"/>
      <c r="C10" s="59"/>
      <c r="D10" s="59"/>
      <c r="E10" s="59"/>
      <c r="F10" s="61"/>
      <c r="G10" s="61"/>
      <c r="H10"/>
      <c r="I10" s="46">
        <v>6</v>
      </c>
      <c r="J10" s="50" t="s">
        <v>81</v>
      </c>
      <c r="K10" s="51" t="s">
        <v>196</v>
      </c>
      <c r="L10" s="52">
        <v>42</v>
      </c>
      <c r="M10" s="53">
        <v>5.7325999999999997</v>
      </c>
      <c r="N10" s="50">
        <v>6.1</v>
      </c>
      <c r="O10" s="54">
        <v>30</v>
      </c>
      <c r="P10" s="55">
        <v>45970</v>
      </c>
      <c r="Q10" s="48">
        <v>0</v>
      </c>
    </row>
    <row r="11" spans="1:22" x14ac:dyDescent="0.25">
      <c r="A11" s="59"/>
      <c r="B11" s="59"/>
      <c r="C11" s="62"/>
      <c r="D11" s="59"/>
      <c r="E11" s="59"/>
      <c r="F11" s="61"/>
      <c r="G11" s="59"/>
      <c r="H11"/>
      <c r="I11" s="46">
        <v>7</v>
      </c>
      <c r="J11" s="50" t="s">
        <v>82</v>
      </c>
      <c r="K11" s="51" t="s">
        <v>197</v>
      </c>
      <c r="L11" s="52">
        <v>42</v>
      </c>
      <c r="M11" s="53">
        <v>5.9603000000000002</v>
      </c>
      <c r="N11" s="50">
        <v>5</v>
      </c>
      <c r="O11" s="54">
        <v>40</v>
      </c>
      <c r="P11" s="55">
        <v>45970</v>
      </c>
      <c r="Q11" s="48">
        <v>100</v>
      </c>
    </row>
    <row r="12" spans="1:22" x14ac:dyDescent="0.25">
      <c r="A12" s="59"/>
      <c r="B12" s="59"/>
      <c r="C12" s="62"/>
      <c r="D12" s="59"/>
      <c r="E12" s="59"/>
      <c r="F12" s="61"/>
      <c r="G12" s="59"/>
      <c r="H12"/>
      <c r="I12" s="46">
        <v>8</v>
      </c>
      <c r="J12" s="50" t="s">
        <v>83</v>
      </c>
      <c r="K12" s="51" t="s">
        <v>198</v>
      </c>
      <c r="L12" s="52">
        <v>42</v>
      </c>
      <c r="M12" s="48">
        <v>5.2004000000000001</v>
      </c>
      <c r="N12" s="48">
        <v>5</v>
      </c>
      <c r="O12" s="49">
        <v>40</v>
      </c>
      <c r="P12" s="55">
        <v>45970</v>
      </c>
      <c r="Q12" s="48">
        <v>0</v>
      </c>
    </row>
    <row r="13" spans="1:22" x14ac:dyDescent="0.25">
      <c r="A13" s="59"/>
      <c r="B13" s="59"/>
      <c r="C13" s="62"/>
      <c r="D13" s="59"/>
      <c r="E13" s="59"/>
      <c r="F13" s="61"/>
      <c r="G13" s="59"/>
      <c r="H13"/>
      <c r="I13" s="46">
        <v>9</v>
      </c>
      <c r="J13" s="50" t="s">
        <v>84</v>
      </c>
      <c r="K13" s="51" t="s">
        <v>195</v>
      </c>
      <c r="L13" s="52">
        <v>42</v>
      </c>
      <c r="M13" s="48">
        <v>5.4920999999999998</v>
      </c>
      <c r="N13" s="48">
        <v>6.1</v>
      </c>
      <c r="O13" s="49">
        <v>30</v>
      </c>
      <c r="P13" s="55">
        <v>45970</v>
      </c>
      <c r="Q13" s="48">
        <v>0</v>
      </c>
      <c r="R13" s="63"/>
    </row>
    <row r="14" spans="1:22" x14ac:dyDescent="0.25">
      <c r="A14" s="59"/>
      <c r="B14" s="59"/>
      <c r="C14" s="62"/>
      <c r="D14" s="59"/>
      <c r="E14" s="59"/>
      <c r="F14" s="61"/>
      <c r="G14" s="59"/>
      <c r="H14"/>
      <c r="I14" s="46">
        <v>10</v>
      </c>
      <c r="J14" s="50" t="s">
        <v>85</v>
      </c>
      <c r="K14" s="51" t="s">
        <v>196</v>
      </c>
      <c r="L14" s="52">
        <v>42</v>
      </c>
      <c r="M14" s="48">
        <v>7.4728000000000003</v>
      </c>
      <c r="N14" s="48">
        <v>8</v>
      </c>
      <c r="O14" s="49">
        <v>30</v>
      </c>
      <c r="P14" s="55">
        <v>45970</v>
      </c>
      <c r="Q14" s="48">
        <v>0</v>
      </c>
      <c r="R14" s="63"/>
    </row>
    <row r="15" spans="1:22" x14ac:dyDescent="0.25">
      <c r="A15" s="59"/>
      <c r="B15" s="59"/>
      <c r="C15" s="62"/>
      <c r="D15" s="59"/>
      <c r="E15" s="59"/>
      <c r="F15" s="59"/>
      <c r="G15" s="59"/>
      <c r="H15"/>
      <c r="I15" s="46">
        <v>11</v>
      </c>
      <c r="J15" s="50" t="s">
        <v>86</v>
      </c>
      <c r="K15" s="51" t="s">
        <v>197</v>
      </c>
      <c r="L15" s="52">
        <v>42</v>
      </c>
      <c r="M15" s="48">
        <v>4.8289999999999997</v>
      </c>
      <c r="N15" s="48">
        <v>5.2</v>
      </c>
      <c r="O15" s="49">
        <v>40</v>
      </c>
      <c r="P15" s="55">
        <v>45970</v>
      </c>
      <c r="Q15" s="48">
        <v>100</v>
      </c>
      <c r="R15" s="63"/>
    </row>
    <row r="16" spans="1:22" x14ac:dyDescent="0.25">
      <c r="A16" s="59"/>
      <c r="B16" s="59"/>
      <c r="C16" s="62"/>
      <c r="D16" s="64"/>
      <c r="E16" s="59"/>
      <c r="F16" s="61"/>
      <c r="G16" s="61"/>
      <c r="H16"/>
      <c r="I16" s="46">
        <v>12</v>
      </c>
      <c r="J16" s="50" t="s">
        <v>87</v>
      </c>
      <c r="K16" s="51" t="s">
        <v>198</v>
      </c>
      <c r="L16" s="52">
        <v>42</v>
      </c>
      <c r="M16" s="48">
        <v>7.5777999999999999</v>
      </c>
      <c r="N16" s="48">
        <v>8.5</v>
      </c>
      <c r="O16" s="49">
        <v>40</v>
      </c>
      <c r="P16" s="55">
        <v>45970</v>
      </c>
      <c r="Q16" s="48">
        <v>0</v>
      </c>
      <c r="R16" s="63"/>
    </row>
    <row r="17" spans="1:20" x14ac:dyDescent="0.25">
      <c r="A17" s="59"/>
      <c r="B17" s="59"/>
      <c r="C17" s="62"/>
      <c r="D17" s="64"/>
      <c r="E17" s="59"/>
      <c r="F17" s="61"/>
      <c r="G17" s="61"/>
      <c r="H17"/>
      <c r="I17" s="46">
        <v>13</v>
      </c>
      <c r="J17" s="50" t="s">
        <v>88</v>
      </c>
      <c r="K17" s="51" t="s">
        <v>195</v>
      </c>
      <c r="L17" s="52">
        <v>42</v>
      </c>
      <c r="M17" s="48">
        <v>8.2925000000000004</v>
      </c>
      <c r="N17" s="48">
        <v>10</v>
      </c>
      <c r="O17" s="49">
        <v>40</v>
      </c>
      <c r="P17" s="55">
        <v>45970</v>
      </c>
      <c r="Q17" s="48">
        <v>0</v>
      </c>
      <c r="R17" s="63"/>
    </row>
    <row r="18" spans="1:20" x14ac:dyDescent="0.25">
      <c r="A18" s="59"/>
      <c r="B18" s="59"/>
      <c r="C18" s="62"/>
      <c r="D18" s="64"/>
      <c r="E18" s="59"/>
      <c r="F18" s="61"/>
      <c r="G18" s="61"/>
      <c r="H18"/>
      <c r="I18" s="46">
        <v>14</v>
      </c>
      <c r="J18" s="50" t="s">
        <v>89</v>
      </c>
      <c r="K18" s="51" t="s">
        <v>196</v>
      </c>
      <c r="L18" s="52">
        <v>42</v>
      </c>
      <c r="M18" s="48">
        <v>8.8714999999999993</v>
      </c>
      <c r="N18" s="48">
        <v>9.6</v>
      </c>
      <c r="O18" s="49">
        <v>30</v>
      </c>
      <c r="P18" s="55">
        <v>45971</v>
      </c>
      <c r="Q18" s="48">
        <v>0</v>
      </c>
      <c r="R18" s="63"/>
    </row>
    <row r="19" spans="1:20" x14ac:dyDescent="0.25">
      <c r="A19" s="59"/>
      <c r="B19" s="59"/>
      <c r="C19" s="65"/>
      <c r="D19" s="59"/>
      <c r="E19" s="59"/>
      <c r="F19" s="59"/>
      <c r="G19" s="59"/>
      <c r="H19" s="61"/>
      <c r="I19" s="46">
        <v>15</v>
      </c>
      <c r="J19" s="50" t="s">
        <v>90</v>
      </c>
      <c r="K19" s="51" t="s">
        <v>197</v>
      </c>
      <c r="L19" s="52">
        <v>42</v>
      </c>
      <c r="M19" s="48">
        <v>4.891</v>
      </c>
      <c r="N19" s="48">
        <v>6.2</v>
      </c>
      <c r="O19" s="49">
        <v>40</v>
      </c>
      <c r="P19" s="55">
        <v>45971</v>
      </c>
      <c r="Q19" s="48">
        <v>100</v>
      </c>
      <c r="S19" s="61"/>
    </row>
    <row r="20" spans="1:20" x14ac:dyDescent="0.25">
      <c r="A20" s="59"/>
      <c r="B20" s="59"/>
      <c r="C20" s="59"/>
      <c r="D20" s="59"/>
      <c r="E20" s="59"/>
      <c r="F20" s="59"/>
      <c r="G20" s="59"/>
      <c r="H20" s="61"/>
      <c r="I20" s="46">
        <v>16</v>
      </c>
      <c r="J20" s="50" t="s">
        <v>91</v>
      </c>
      <c r="K20" s="51" t="s">
        <v>198</v>
      </c>
      <c r="L20" s="52">
        <v>42</v>
      </c>
      <c r="M20" s="48">
        <v>7.4497</v>
      </c>
      <c r="N20" s="48">
        <v>9</v>
      </c>
      <c r="O20" s="49">
        <v>40</v>
      </c>
      <c r="P20" s="55">
        <v>45971</v>
      </c>
      <c r="Q20" s="48">
        <v>0</v>
      </c>
      <c r="R20" s="60"/>
      <c r="S20" s="66"/>
      <c r="T20" s="67"/>
    </row>
    <row r="21" spans="1:20" x14ac:dyDescent="0.25">
      <c r="A21" s="26"/>
      <c r="B21" s="26"/>
      <c r="C21"/>
      <c r="D21"/>
      <c r="E21"/>
      <c r="F21"/>
      <c r="G21" s="68"/>
      <c r="H21" s="68"/>
      <c r="I21" s="46">
        <v>17</v>
      </c>
      <c r="J21" s="50" t="s">
        <v>92</v>
      </c>
      <c r="K21" s="51" t="s">
        <v>195</v>
      </c>
      <c r="L21" s="52">
        <v>42</v>
      </c>
      <c r="M21" s="48">
        <v>5.5022000000000002</v>
      </c>
      <c r="N21" s="48">
        <v>7</v>
      </c>
      <c r="O21" s="49">
        <v>30</v>
      </c>
      <c r="P21" s="55">
        <v>45971</v>
      </c>
      <c r="Q21" s="48">
        <v>0</v>
      </c>
    </row>
    <row r="22" spans="1:20" x14ac:dyDescent="0.25">
      <c r="A22" s="26"/>
      <c r="B22" s="26"/>
      <c r="C22"/>
      <c r="D22"/>
      <c r="E22"/>
      <c r="F22"/>
      <c r="G22" s="68"/>
      <c r="H22" s="68"/>
      <c r="I22" s="46">
        <v>18</v>
      </c>
      <c r="J22" s="50" t="s">
        <v>93</v>
      </c>
      <c r="K22" s="51" t="s">
        <v>195</v>
      </c>
      <c r="L22" s="52">
        <v>42</v>
      </c>
      <c r="M22" s="48">
        <v>9.2227999999999994</v>
      </c>
      <c r="N22" s="48">
        <v>10</v>
      </c>
      <c r="O22" s="49">
        <v>30</v>
      </c>
      <c r="P22" s="55">
        <v>45971</v>
      </c>
      <c r="Q22" s="48">
        <v>0</v>
      </c>
    </row>
    <row r="23" spans="1:20" x14ac:dyDescent="0.25">
      <c r="A23" s="26"/>
      <c r="B23" s="26"/>
      <c r="C23"/>
      <c r="D23"/>
      <c r="E23"/>
      <c r="F23"/>
      <c r="G23" s="68"/>
      <c r="H23" s="68"/>
      <c r="I23" s="46">
        <v>19</v>
      </c>
      <c r="J23" s="50" t="s">
        <v>94</v>
      </c>
      <c r="K23" s="51" t="s">
        <v>196</v>
      </c>
      <c r="L23" s="52">
        <v>42</v>
      </c>
      <c r="M23" s="48">
        <v>7.2007000000000003</v>
      </c>
      <c r="N23" s="48">
        <v>8</v>
      </c>
      <c r="O23" s="49">
        <v>30</v>
      </c>
      <c r="P23" s="55">
        <v>45971</v>
      </c>
      <c r="Q23" s="48">
        <v>0</v>
      </c>
    </row>
    <row r="24" spans="1:20" x14ac:dyDescent="0.25">
      <c r="A24" s="26"/>
      <c r="B24" s="26"/>
      <c r="C24"/>
      <c r="D24"/>
      <c r="E24"/>
      <c r="F24"/>
      <c r="G24" s="68"/>
      <c r="H24" s="68"/>
      <c r="I24" s="46">
        <v>20</v>
      </c>
      <c r="J24" s="50" t="s">
        <v>95</v>
      </c>
      <c r="K24" s="51" t="s">
        <v>197</v>
      </c>
      <c r="L24" s="52">
        <v>42</v>
      </c>
      <c r="M24" s="48">
        <v>4.9321000000000002</v>
      </c>
      <c r="N24" s="48">
        <v>5</v>
      </c>
      <c r="O24" s="49">
        <v>40</v>
      </c>
      <c r="P24" s="55">
        <v>45971</v>
      </c>
      <c r="Q24" s="48">
        <v>100</v>
      </c>
    </row>
    <row r="25" spans="1:20" x14ac:dyDescent="0.25">
      <c r="A25" s="26"/>
      <c r="B25" s="26"/>
      <c r="C25"/>
      <c r="D25"/>
      <c r="E25"/>
      <c r="F25"/>
      <c r="G25" s="68"/>
      <c r="H25" s="68"/>
      <c r="I25" s="46">
        <v>21</v>
      </c>
      <c r="J25" s="50" t="s">
        <v>96</v>
      </c>
      <c r="K25" s="51" t="s">
        <v>198</v>
      </c>
      <c r="L25" s="52">
        <v>42</v>
      </c>
      <c r="M25" s="48">
        <v>7.6212999999999997</v>
      </c>
      <c r="N25" s="48">
        <v>9</v>
      </c>
      <c r="O25" s="49">
        <v>40</v>
      </c>
      <c r="P25" s="55">
        <v>45971</v>
      </c>
      <c r="Q25" s="48">
        <v>0</v>
      </c>
    </row>
    <row r="26" spans="1:20" x14ac:dyDescent="0.25">
      <c r="A26" s="26"/>
      <c r="B26" s="26"/>
      <c r="C26"/>
      <c r="D26"/>
      <c r="E26"/>
      <c r="F26"/>
      <c r="G26" s="68"/>
      <c r="H26" s="68"/>
      <c r="I26" s="46">
        <v>22</v>
      </c>
      <c r="J26" s="50" t="s">
        <v>97</v>
      </c>
      <c r="K26" s="51" t="s">
        <v>195</v>
      </c>
      <c r="L26" s="52">
        <v>42</v>
      </c>
      <c r="M26" s="48">
        <v>7.0495000000000001</v>
      </c>
      <c r="N26" s="48">
        <v>8.1</v>
      </c>
      <c r="O26" s="49">
        <v>30</v>
      </c>
      <c r="P26" s="55">
        <v>45971</v>
      </c>
      <c r="Q26" s="48">
        <v>0</v>
      </c>
    </row>
    <row r="27" spans="1:20" ht="15" customHeight="1" x14ac:dyDescent="0.25">
      <c r="I27" s="46">
        <v>23</v>
      </c>
      <c r="J27" s="50" t="s">
        <v>98</v>
      </c>
      <c r="K27" s="51" t="s">
        <v>196</v>
      </c>
      <c r="L27" s="52">
        <v>42</v>
      </c>
      <c r="M27" s="48">
        <v>4.7511999999999999</v>
      </c>
      <c r="N27" s="48">
        <v>5.4</v>
      </c>
      <c r="O27" s="49">
        <v>30</v>
      </c>
      <c r="P27" s="55">
        <v>45971</v>
      </c>
      <c r="Q27" s="48">
        <v>0</v>
      </c>
    </row>
    <row r="28" spans="1:20" ht="15" customHeight="1" x14ac:dyDescent="0.25">
      <c r="I28" s="46">
        <v>24</v>
      </c>
      <c r="J28" s="50" t="s">
        <v>99</v>
      </c>
      <c r="K28" s="51" t="s">
        <v>197</v>
      </c>
      <c r="L28" s="52">
        <v>42</v>
      </c>
      <c r="M28" s="48">
        <v>4.7172000000000001</v>
      </c>
      <c r="N28" s="48">
        <v>5</v>
      </c>
      <c r="O28" s="49">
        <v>40</v>
      </c>
      <c r="P28" s="55">
        <v>45971</v>
      </c>
      <c r="Q28" s="48">
        <v>100</v>
      </c>
    </row>
    <row r="29" spans="1:20" ht="15" customHeight="1" x14ac:dyDescent="0.25">
      <c r="I29" s="46">
        <v>25</v>
      </c>
      <c r="J29" s="50" t="s">
        <v>100</v>
      </c>
      <c r="K29" s="51" t="s">
        <v>198</v>
      </c>
      <c r="L29" s="52">
        <v>42</v>
      </c>
      <c r="M29" s="48">
        <v>7.0179</v>
      </c>
      <c r="N29" s="48">
        <v>8</v>
      </c>
      <c r="O29" s="49">
        <v>40</v>
      </c>
      <c r="P29" s="55">
        <v>45971</v>
      </c>
      <c r="Q29" s="48">
        <v>0</v>
      </c>
    </row>
    <row r="1048556" ht="15.75" x14ac:dyDescent="0.2"/>
    <row r="1048557" ht="15.75" x14ac:dyDescent="0.2"/>
    <row r="1048558" ht="15.75" x14ac:dyDescent="0.2"/>
    <row r="1048559" ht="15.75" x14ac:dyDescent="0.2"/>
    <row r="1048560" ht="15.75" x14ac:dyDescent="0.2"/>
    <row r="1048561" ht="15.75" x14ac:dyDescent="0.2"/>
    <row r="1048562" ht="15.75" x14ac:dyDescent="0.2"/>
    <row r="1048563" ht="15.75" x14ac:dyDescent="0.2"/>
    <row r="1048564" ht="15.75" x14ac:dyDescent="0.2"/>
    <row r="1048565" ht="15.75" x14ac:dyDescent="0.2"/>
    <row r="1048566" ht="15.75" x14ac:dyDescent="0.2"/>
    <row r="1048567" ht="15.75" x14ac:dyDescent="0.2"/>
    <row r="1048568" ht="15.75" x14ac:dyDescent="0.2"/>
    <row r="1048569" ht="15.75" x14ac:dyDescent="0.2"/>
    <row r="1048570" ht="15.75" x14ac:dyDescent="0.2"/>
    <row r="1048571" ht="15.75" x14ac:dyDescent="0.2"/>
    <row r="1048572" ht="15.75" x14ac:dyDescent="0.2"/>
    <row r="1048573" ht="15.75" x14ac:dyDescent="0.2"/>
    <row r="1048574" ht="15.75" x14ac:dyDescent="0.2"/>
    <row r="1048575" ht="15.75" x14ac:dyDescent="0.2"/>
    <row r="1048576" ht="15.75" x14ac:dyDescent="0.2"/>
  </sheetData>
  <mergeCells count="9">
    <mergeCell ref="I1:Q1"/>
    <mergeCell ref="J3:J4"/>
    <mergeCell ref="K3:K4"/>
    <mergeCell ref="L3:L4"/>
    <mergeCell ref="M3:M4"/>
    <mergeCell ref="N3:N4"/>
    <mergeCell ref="O3:O4"/>
    <mergeCell ref="P3:P4"/>
    <mergeCell ref="Q3:Q4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78"/>
  <sheetViews>
    <sheetView tabSelected="1" zoomScale="80" zoomScaleNormal="80" workbookViewId="0">
      <selection activeCell="F28" sqref="F28"/>
    </sheetView>
  </sheetViews>
  <sheetFormatPr defaultColWidth="11.5703125" defaultRowHeight="12.75" customHeight="1" x14ac:dyDescent="0.2"/>
  <cols>
    <col min="1" max="1" width="16.5703125" customWidth="1"/>
    <col min="2" max="2" width="24.140625" customWidth="1"/>
    <col min="4" max="4" width="11.5703125" style="69"/>
    <col min="5" max="5" width="15.28515625" style="69" customWidth="1"/>
    <col min="6" max="6" width="11.5703125" style="69"/>
    <col min="7" max="7" width="13" style="69" customWidth="1"/>
    <col min="8" max="10" width="11.5703125" style="69"/>
    <col min="11" max="11" width="13.7109375" style="69" customWidth="1"/>
    <col min="12" max="12" width="20.7109375" style="69" customWidth="1"/>
    <col min="13" max="13" width="11.5703125" style="70"/>
    <col min="14" max="14" width="11.5703125" style="69"/>
    <col min="15" max="15" width="11.5703125" style="70"/>
    <col min="16" max="19" width="11.5703125" style="69"/>
    <col min="20" max="20" width="11.5703125" style="70"/>
    <col min="21" max="22" width="11.5703125" style="69"/>
    <col min="23" max="23" width="13" style="69" customWidth="1"/>
    <col min="24" max="24" width="15.85546875" style="69" customWidth="1"/>
    <col min="25" max="31" width="11.5703125" style="70"/>
    <col min="32" max="33" width="11.5703125" style="69"/>
    <col min="34" max="65" width="11.5703125" style="70"/>
    <col min="66" max="69" width="11.5703125" style="69"/>
  </cols>
  <sheetData>
    <row r="1" spans="1:73" ht="15.75" x14ac:dyDescent="0.2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0"/>
      <c r="R1" s="70"/>
      <c r="S1" s="70"/>
      <c r="U1" s="70"/>
      <c r="V1" s="70"/>
      <c r="W1" s="70"/>
      <c r="X1" s="70"/>
      <c r="AF1" s="70"/>
      <c r="AG1" s="70"/>
      <c r="BN1" s="70"/>
      <c r="BO1" s="70"/>
      <c r="BP1" s="70"/>
      <c r="BQ1" s="70"/>
    </row>
    <row r="2" spans="1:73" x14ac:dyDescent="0.2">
      <c r="A2" s="80" t="s">
        <v>102</v>
      </c>
      <c r="B2" s="81" t="s">
        <v>103</v>
      </c>
      <c r="C2" s="82" t="s">
        <v>104</v>
      </c>
      <c r="D2" s="71" t="s">
        <v>105</v>
      </c>
      <c r="E2" s="71" t="s">
        <v>106</v>
      </c>
      <c r="F2" s="71" t="s">
        <v>107</v>
      </c>
      <c r="G2" s="71" t="s">
        <v>108</v>
      </c>
      <c r="H2" s="71" t="s">
        <v>109</v>
      </c>
      <c r="I2" s="71" t="s">
        <v>78</v>
      </c>
      <c r="J2" s="71" t="s">
        <v>110</v>
      </c>
      <c r="K2" s="71" t="s">
        <v>111</v>
      </c>
      <c r="L2" s="71" t="s">
        <v>112</v>
      </c>
      <c r="M2" s="71" t="s">
        <v>113</v>
      </c>
      <c r="N2" s="71" t="s">
        <v>114</v>
      </c>
      <c r="O2" s="71" t="s">
        <v>115</v>
      </c>
      <c r="P2" s="71" t="s">
        <v>116</v>
      </c>
      <c r="Q2" s="71" t="s">
        <v>117</v>
      </c>
      <c r="R2" s="71" t="s">
        <v>118</v>
      </c>
      <c r="S2" s="71" t="s">
        <v>119</v>
      </c>
      <c r="T2" s="71" t="s">
        <v>120</v>
      </c>
      <c r="U2" s="71" t="s">
        <v>121</v>
      </c>
      <c r="V2" s="71" t="s">
        <v>122</v>
      </c>
      <c r="W2" s="71" t="s">
        <v>76</v>
      </c>
      <c r="X2" s="71" t="s">
        <v>74</v>
      </c>
      <c r="Y2" s="71" t="s">
        <v>123</v>
      </c>
      <c r="Z2" s="71" t="s">
        <v>124</v>
      </c>
      <c r="AA2" s="71" t="s">
        <v>125</v>
      </c>
      <c r="AB2" s="71" t="s">
        <v>126</v>
      </c>
      <c r="AC2" s="71" t="s">
        <v>127</v>
      </c>
      <c r="AD2" s="71" t="s">
        <v>128</v>
      </c>
      <c r="AE2" s="71" t="s">
        <v>129</v>
      </c>
      <c r="AF2" s="71" t="s">
        <v>130</v>
      </c>
      <c r="AG2" s="71" t="s">
        <v>131</v>
      </c>
      <c r="AH2" s="71" t="s">
        <v>132</v>
      </c>
      <c r="AI2" s="71" t="s">
        <v>133</v>
      </c>
      <c r="AJ2" s="71" t="s">
        <v>134</v>
      </c>
      <c r="AK2" s="71" t="s">
        <v>135</v>
      </c>
      <c r="AL2" s="71" t="s">
        <v>136</v>
      </c>
      <c r="AM2" s="71" t="s">
        <v>137</v>
      </c>
      <c r="AN2" s="71" t="s">
        <v>138</v>
      </c>
      <c r="AO2" s="71" t="s">
        <v>139</v>
      </c>
      <c r="AP2" s="71" t="s">
        <v>140</v>
      </c>
      <c r="AQ2" s="71" t="s">
        <v>141</v>
      </c>
      <c r="AR2" s="71" t="s">
        <v>142</v>
      </c>
      <c r="AS2" s="71" t="s">
        <v>143</v>
      </c>
      <c r="AT2" s="71" t="s">
        <v>144</v>
      </c>
      <c r="AU2" s="71" t="s">
        <v>145</v>
      </c>
      <c r="AV2" s="71" t="s">
        <v>146</v>
      </c>
      <c r="AW2" s="71" t="s">
        <v>147</v>
      </c>
      <c r="AX2" s="71" t="s">
        <v>148</v>
      </c>
      <c r="AY2" s="71" t="s">
        <v>149</v>
      </c>
      <c r="AZ2" s="71" t="s">
        <v>150</v>
      </c>
      <c r="BA2" s="71" t="s">
        <v>151</v>
      </c>
      <c r="BB2" s="71" t="s">
        <v>152</v>
      </c>
      <c r="BC2" s="71" t="s">
        <v>153</v>
      </c>
      <c r="BD2" s="71" t="s">
        <v>154</v>
      </c>
      <c r="BE2" s="71" t="s">
        <v>155</v>
      </c>
      <c r="BF2" s="71" t="s">
        <v>156</v>
      </c>
      <c r="BG2" s="71" t="s">
        <v>157</v>
      </c>
      <c r="BH2" s="71" t="s">
        <v>158</v>
      </c>
      <c r="BI2" s="71" t="s">
        <v>159</v>
      </c>
      <c r="BJ2" s="71" t="s">
        <v>160</v>
      </c>
      <c r="BK2" s="71" t="s">
        <v>161</v>
      </c>
      <c r="BL2" s="71" t="s">
        <v>162</v>
      </c>
      <c r="BM2" s="71" t="s">
        <v>163</v>
      </c>
      <c r="BN2" s="71" t="s">
        <v>164</v>
      </c>
      <c r="BO2" s="71" t="s">
        <v>165</v>
      </c>
      <c r="BP2" s="71" t="s">
        <v>166</v>
      </c>
      <c r="BQ2" s="71" t="s">
        <v>167</v>
      </c>
    </row>
    <row r="3" spans="1:73" x14ac:dyDescent="0.2">
      <c r="A3" s="80"/>
      <c r="B3" s="81"/>
      <c r="C3" s="82"/>
      <c r="D3" s="72" t="s">
        <v>168</v>
      </c>
      <c r="E3" s="72">
        <v>7</v>
      </c>
      <c r="F3" s="72">
        <v>9</v>
      </c>
      <c r="G3" s="72">
        <v>23</v>
      </c>
      <c r="H3" s="72">
        <v>24</v>
      </c>
      <c r="I3" s="72">
        <v>27</v>
      </c>
      <c r="J3" s="72">
        <v>31</v>
      </c>
      <c r="K3" s="72">
        <v>34</v>
      </c>
      <c r="L3" s="72">
        <v>35</v>
      </c>
      <c r="M3" s="72">
        <v>39</v>
      </c>
      <c r="N3" s="72">
        <v>44</v>
      </c>
      <c r="O3" s="72">
        <v>45</v>
      </c>
      <c r="P3" s="72">
        <v>47</v>
      </c>
      <c r="Q3" s="72">
        <v>51</v>
      </c>
      <c r="R3" s="72">
        <v>52</v>
      </c>
      <c r="S3" s="72">
        <v>55</v>
      </c>
      <c r="T3" s="72">
        <v>57</v>
      </c>
      <c r="U3" s="72">
        <v>59</v>
      </c>
      <c r="V3" s="72">
        <v>60</v>
      </c>
      <c r="W3" s="72">
        <v>63</v>
      </c>
      <c r="X3" s="72">
        <v>66</v>
      </c>
      <c r="Y3" s="72">
        <v>71</v>
      </c>
      <c r="Z3" s="72">
        <v>72</v>
      </c>
      <c r="AA3" s="72">
        <v>75</v>
      </c>
      <c r="AB3" s="72">
        <v>82</v>
      </c>
      <c r="AC3" s="72">
        <v>85</v>
      </c>
      <c r="AD3" s="72">
        <v>88</v>
      </c>
      <c r="AE3" s="72">
        <v>89</v>
      </c>
      <c r="AF3" s="72">
        <v>90</v>
      </c>
      <c r="AG3" s="72">
        <v>93</v>
      </c>
      <c r="AH3" s="72">
        <v>95</v>
      </c>
      <c r="AI3" s="72">
        <v>101</v>
      </c>
      <c r="AJ3" s="72">
        <v>103</v>
      </c>
      <c r="AK3" s="72">
        <v>105</v>
      </c>
      <c r="AL3" s="72">
        <v>107</v>
      </c>
      <c r="AM3" s="72">
        <v>115</v>
      </c>
      <c r="AN3" s="72">
        <v>121</v>
      </c>
      <c r="AO3" s="72">
        <v>125</v>
      </c>
      <c r="AP3" s="72">
        <v>133</v>
      </c>
      <c r="AQ3" s="72">
        <v>137</v>
      </c>
      <c r="AR3" s="72">
        <v>139</v>
      </c>
      <c r="AS3" s="72">
        <v>140</v>
      </c>
      <c r="AT3" s="72">
        <v>141</v>
      </c>
      <c r="AU3" s="72">
        <v>146</v>
      </c>
      <c r="AV3" s="72">
        <v>147</v>
      </c>
      <c r="AW3" s="72">
        <v>153</v>
      </c>
      <c r="AX3" s="72">
        <v>157</v>
      </c>
      <c r="AY3" s="72">
        <v>159</v>
      </c>
      <c r="AZ3" s="72">
        <v>163</v>
      </c>
      <c r="BA3" s="72">
        <v>165</v>
      </c>
      <c r="BB3" s="72">
        <v>166</v>
      </c>
      <c r="BC3" s="72">
        <v>169</v>
      </c>
      <c r="BD3" s="72">
        <v>172</v>
      </c>
      <c r="BE3" s="72">
        <v>175</v>
      </c>
      <c r="BF3" s="72">
        <v>178</v>
      </c>
      <c r="BG3" s="72">
        <v>181</v>
      </c>
      <c r="BH3" s="72">
        <v>182</v>
      </c>
      <c r="BI3" s="72">
        <v>185</v>
      </c>
      <c r="BJ3" s="72">
        <v>189</v>
      </c>
      <c r="BK3" s="72">
        <v>193</v>
      </c>
      <c r="BL3" s="72">
        <v>195</v>
      </c>
      <c r="BM3" s="72">
        <v>197</v>
      </c>
      <c r="BN3" s="72">
        <v>205</v>
      </c>
      <c r="BO3" s="72">
        <v>209</v>
      </c>
      <c r="BP3" s="72">
        <v>232</v>
      </c>
      <c r="BQ3" s="72">
        <v>238</v>
      </c>
      <c r="BR3" s="73"/>
      <c r="BS3" s="73"/>
      <c r="BT3" s="73"/>
      <c r="BU3" s="73"/>
    </row>
    <row r="4" spans="1:73" ht="15" x14ac:dyDescent="0.25">
      <c r="A4" s="74" t="s">
        <v>169</v>
      </c>
      <c r="B4" s="50" t="s">
        <v>73</v>
      </c>
      <c r="C4" s="75" t="s">
        <v>170</v>
      </c>
      <c r="D4" s="76"/>
      <c r="E4" s="71">
        <v>0.85924999999999996</v>
      </c>
      <c r="F4" s="77">
        <v>3.2499999999999999E-3</v>
      </c>
      <c r="G4" s="77">
        <v>56.95</v>
      </c>
      <c r="H4" s="77">
        <v>20.245000000000001</v>
      </c>
      <c r="I4" s="77">
        <v>79.25</v>
      </c>
      <c r="J4" s="77">
        <v>18.892499999999998</v>
      </c>
      <c r="K4" s="77">
        <v>3832.5</v>
      </c>
      <c r="L4" s="77">
        <v>1931500</v>
      </c>
      <c r="M4" s="77">
        <v>4.6900000000000004</v>
      </c>
      <c r="N4" s="77">
        <v>171.27500000000001</v>
      </c>
      <c r="O4" s="77">
        <v>2.1499999999999998E-2</v>
      </c>
      <c r="P4" s="77">
        <v>4.6900000000000004</v>
      </c>
      <c r="Q4" s="77">
        <v>1.8480000000000001</v>
      </c>
      <c r="R4" s="77">
        <v>6.6275000000000004</v>
      </c>
      <c r="S4" s="77">
        <v>29.925000000000001</v>
      </c>
      <c r="T4" s="77">
        <v>6145</v>
      </c>
      <c r="U4" s="78">
        <v>0.70750000000000002</v>
      </c>
      <c r="V4" s="78">
        <v>3.8875000000000002</v>
      </c>
      <c r="W4" s="78">
        <v>1357.75</v>
      </c>
      <c r="X4" s="78">
        <v>5780</v>
      </c>
      <c r="Y4" s="77">
        <v>7.8750000000000001E-2</v>
      </c>
      <c r="Z4" s="77">
        <v>0.33624999999999999</v>
      </c>
      <c r="AA4" s="77">
        <v>2.3260000000000001</v>
      </c>
      <c r="AB4" s="77">
        <v>0.91700000000000004</v>
      </c>
      <c r="AC4" s="77">
        <v>2.325E-2</v>
      </c>
      <c r="AD4" s="77">
        <v>0.50824999999999998</v>
      </c>
      <c r="AE4" s="77">
        <v>4.1750000000000002E-2</v>
      </c>
      <c r="AF4" s="77">
        <v>0.43675000000000003</v>
      </c>
      <c r="AG4" s="77">
        <v>0</v>
      </c>
      <c r="AH4" s="77">
        <v>4.7975000000000003</v>
      </c>
      <c r="AI4" s="77">
        <v>1.75E-3</v>
      </c>
      <c r="AJ4" s="77">
        <v>5.0000000000000001E-4</v>
      </c>
      <c r="AK4" s="77">
        <v>0.11225</v>
      </c>
      <c r="AL4" s="77">
        <v>12.7</v>
      </c>
      <c r="AM4" s="77">
        <v>1.6250000000000001E-2</v>
      </c>
      <c r="AN4" s="77">
        <v>0.52249999999999996</v>
      </c>
      <c r="AO4" s="77">
        <v>-7.4999999999999997E-3</v>
      </c>
      <c r="AP4" s="77">
        <v>-2.7499999999999998E-3</v>
      </c>
      <c r="AQ4" s="77">
        <v>3.74</v>
      </c>
      <c r="AR4" s="77">
        <v>4.1500000000000002E-2</v>
      </c>
      <c r="AS4" s="77">
        <v>0.40675</v>
      </c>
      <c r="AT4" s="77">
        <v>8.2500000000000004E-3</v>
      </c>
      <c r="AU4" s="77">
        <v>3.5000000000000003E-2</v>
      </c>
      <c r="AV4" s="77">
        <v>6.0000000000000001E-3</v>
      </c>
      <c r="AW4" s="77">
        <v>1.25E-3</v>
      </c>
      <c r="AX4" s="77">
        <v>4.2500000000000003E-3</v>
      </c>
      <c r="AY4" s="77">
        <v>7.5000000000000002E-4</v>
      </c>
      <c r="AZ4" s="77">
        <v>4.2500000000000003E-3</v>
      </c>
      <c r="BA4" s="77">
        <v>1E-3</v>
      </c>
      <c r="BB4" s="77">
        <v>2.5000000000000001E-3</v>
      </c>
      <c r="BC4" s="77">
        <v>2.5000000000000001E-4</v>
      </c>
      <c r="BD4" s="77">
        <v>2.5000000000000001E-3</v>
      </c>
      <c r="BE4" s="77">
        <v>5.0000000000000001E-4</v>
      </c>
      <c r="BF4" s="77">
        <v>1.0749999999999999E-2</v>
      </c>
      <c r="BG4" s="77">
        <v>0</v>
      </c>
      <c r="BH4" s="77">
        <v>0.13325000000000001</v>
      </c>
      <c r="BI4" s="77">
        <v>3.0000000000000001E-3</v>
      </c>
      <c r="BJ4" s="77">
        <v>-5.0000000000000001E-4</v>
      </c>
      <c r="BK4" s="77">
        <v>-5.0000000000000001E-4</v>
      </c>
      <c r="BL4" s="77">
        <v>1.75E-3</v>
      </c>
      <c r="BM4" s="77">
        <v>0.37125000000000002</v>
      </c>
      <c r="BN4" s="77">
        <v>1.6072500000000001</v>
      </c>
      <c r="BO4" s="77">
        <v>6.9750000000000006E-2</v>
      </c>
      <c r="BP4" s="77">
        <v>0.64075000000000004</v>
      </c>
      <c r="BQ4" s="77">
        <v>7.3499999999999996E-2</v>
      </c>
      <c r="BR4" s="79"/>
    </row>
    <row r="5" spans="1:73" ht="15" x14ac:dyDescent="0.25">
      <c r="A5" s="74" t="s">
        <v>169</v>
      </c>
      <c r="B5" s="50" t="s">
        <v>73</v>
      </c>
      <c r="C5" s="75" t="s">
        <v>170</v>
      </c>
      <c r="D5" s="76"/>
      <c r="E5" s="71">
        <v>0.81225000000000003</v>
      </c>
      <c r="F5" s="77">
        <v>3.5000000000000001E-3</v>
      </c>
      <c r="G5" s="77">
        <v>55.9</v>
      </c>
      <c r="H5" s="77">
        <v>19.622499999999999</v>
      </c>
      <c r="I5" s="77">
        <v>77.424999999999997</v>
      </c>
      <c r="J5" s="77">
        <v>17.844999999999999</v>
      </c>
      <c r="K5" s="77">
        <v>3770</v>
      </c>
      <c r="L5" s="77">
        <v>2068750</v>
      </c>
      <c r="M5" s="77">
        <v>4.6074999999999999</v>
      </c>
      <c r="N5" s="77">
        <v>167.92500000000001</v>
      </c>
      <c r="O5" s="77">
        <v>2.0500000000000001E-2</v>
      </c>
      <c r="P5" s="77">
        <v>4.6074999999999999</v>
      </c>
      <c r="Q5" s="77">
        <v>1.79575</v>
      </c>
      <c r="R5" s="77">
        <v>6.4</v>
      </c>
      <c r="S5" s="77">
        <v>28.975000000000001</v>
      </c>
      <c r="T5" s="77">
        <v>6147.5</v>
      </c>
      <c r="U5" s="78">
        <v>0.68799999999999994</v>
      </c>
      <c r="V5" s="78">
        <v>3.76</v>
      </c>
      <c r="W5" s="78">
        <v>1325.75</v>
      </c>
      <c r="X5" s="78">
        <v>5625</v>
      </c>
      <c r="Y5" s="77">
        <v>7.825E-2</v>
      </c>
      <c r="Z5" s="77">
        <v>0.34375</v>
      </c>
      <c r="AA5" s="77">
        <v>2.2614999999999998</v>
      </c>
      <c r="AB5" s="77">
        <v>0.89949999999999997</v>
      </c>
      <c r="AC5" s="77">
        <v>2.3E-2</v>
      </c>
      <c r="AD5" s="77">
        <v>0.49325000000000002</v>
      </c>
      <c r="AE5" s="77">
        <v>6.7500000000000004E-2</v>
      </c>
      <c r="AF5" s="77">
        <v>0.36025000000000001</v>
      </c>
      <c r="AG5" s="77">
        <v>0</v>
      </c>
      <c r="AH5" s="77">
        <v>4.79</v>
      </c>
      <c r="AI5" s="77">
        <v>2E-3</v>
      </c>
      <c r="AJ5" s="77">
        <v>7.5000000000000002E-4</v>
      </c>
      <c r="AK5" s="77">
        <v>0.126</v>
      </c>
      <c r="AL5" s="77">
        <v>12.6625</v>
      </c>
      <c r="AM5" s="77">
        <v>1.525E-2</v>
      </c>
      <c r="AN5" s="77">
        <v>0.53174999999999994</v>
      </c>
      <c r="AO5" s="77">
        <v>-0.01</v>
      </c>
      <c r="AP5" s="77">
        <v>-2.5000000000000001E-3</v>
      </c>
      <c r="AQ5" s="77">
        <v>3.68</v>
      </c>
      <c r="AR5" s="77">
        <v>6.9750000000000006E-2</v>
      </c>
      <c r="AS5" s="77">
        <v>0.67525000000000002</v>
      </c>
      <c r="AT5" s="77">
        <v>1.4250000000000001E-2</v>
      </c>
      <c r="AU5" s="77">
        <v>5.6500000000000002E-2</v>
      </c>
      <c r="AV5" s="77">
        <v>1.0749999999999999E-2</v>
      </c>
      <c r="AW5" s="77">
        <v>2.5000000000000001E-3</v>
      </c>
      <c r="AX5" s="77">
        <v>8.7500000000000008E-3</v>
      </c>
      <c r="AY5" s="77">
        <v>1.25E-3</v>
      </c>
      <c r="AZ5" s="77">
        <v>6.7499999999999999E-3</v>
      </c>
      <c r="BA5" s="77">
        <v>1.5E-3</v>
      </c>
      <c r="BB5" s="77">
        <v>4.2500000000000003E-3</v>
      </c>
      <c r="BC5" s="77">
        <v>7.5000000000000002E-4</v>
      </c>
      <c r="BD5" s="77">
        <v>4.7499999999999999E-3</v>
      </c>
      <c r="BE5" s="77">
        <v>7.5000000000000002E-4</v>
      </c>
      <c r="BF5" s="77">
        <v>8.7500000000000008E-3</v>
      </c>
      <c r="BG5" s="77">
        <v>0</v>
      </c>
      <c r="BH5" s="77">
        <v>0.13600000000000001</v>
      </c>
      <c r="BI5" s="77">
        <v>2.7499999999999998E-3</v>
      </c>
      <c r="BJ5" s="77">
        <v>-5.0000000000000001E-4</v>
      </c>
      <c r="BK5" s="77">
        <v>-5.0000000000000001E-4</v>
      </c>
      <c r="BL5" s="77">
        <v>2.2499999999999998E-3</v>
      </c>
      <c r="BM5" s="77">
        <v>0.49049999999999999</v>
      </c>
      <c r="BN5" s="77">
        <v>1.548</v>
      </c>
      <c r="BO5" s="77">
        <v>5.8000000000000003E-2</v>
      </c>
      <c r="BP5" s="77">
        <v>0.36049999999999999</v>
      </c>
      <c r="BQ5" s="77">
        <v>0.1265</v>
      </c>
      <c r="BR5" s="79"/>
    </row>
    <row r="6" spans="1:73" ht="15" x14ac:dyDescent="0.25">
      <c r="A6" s="74" t="s">
        <v>169</v>
      </c>
      <c r="B6" s="50" t="s">
        <v>73</v>
      </c>
      <c r="C6" s="75" t="s">
        <v>170</v>
      </c>
      <c r="D6" s="76"/>
      <c r="E6" s="71">
        <v>0.82674999999999998</v>
      </c>
      <c r="F6" s="77">
        <v>2.5000000000000001E-3</v>
      </c>
      <c r="G6" s="77">
        <v>54.975000000000001</v>
      </c>
      <c r="H6" s="77">
        <v>19.98</v>
      </c>
      <c r="I6" s="77">
        <v>79.75</v>
      </c>
      <c r="J6" s="77">
        <v>17.25</v>
      </c>
      <c r="K6" s="77">
        <v>3735</v>
      </c>
      <c r="L6" s="77">
        <v>2110750</v>
      </c>
      <c r="M6" s="77">
        <v>4.6825000000000001</v>
      </c>
      <c r="N6" s="77">
        <v>165.5</v>
      </c>
      <c r="O6" s="77">
        <v>1.8249999999999999E-2</v>
      </c>
      <c r="P6" s="77">
        <v>4.6825000000000001</v>
      </c>
      <c r="Q6" s="77">
        <v>1.8382499999999999</v>
      </c>
      <c r="R6" s="77">
        <v>6.6325000000000003</v>
      </c>
      <c r="S6" s="77">
        <v>29.574999999999999</v>
      </c>
      <c r="T6" s="77">
        <v>6077.5</v>
      </c>
      <c r="U6" s="78">
        <v>0.70325000000000004</v>
      </c>
      <c r="V6" s="78">
        <v>3.9024999999999999</v>
      </c>
      <c r="W6" s="78">
        <v>1363</v>
      </c>
      <c r="X6" s="78">
        <v>5742.5</v>
      </c>
      <c r="Y6" s="77">
        <v>7.825E-2</v>
      </c>
      <c r="Z6" s="77">
        <v>0.33825</v>
      </c>
      <c r="AA6" s="77">
        <v>2.2559999999999998</v>
      </c>
      <c r="AB6" s="77">
        <v>0.86675000000000002</v>
      </c>
      <c r="AC6" s="77">
        <v>2.2749999999999999E-2</v>
      </c>
      <c r="AD6" s="77">
        <v>0.497</v>
      </c>
      <c r="AE6" s="77">
        <v>6.225E-2</v>
      </c>
      <c r="AF6" s="77">
        <v>0.30675000000000002</v>
      </c>
      <c r="AG6" s="77">
        <v>0</v>
      </c>
      <c r="AH6" s="77">
        <v>4.88</v>
      </c>
      <c r="AI6" s="77">
        <v>2.7499999999999998E-3</v>
      </c>
      <c r="AJ6" s="77">
        <v>7.5000000000000002E-4</v>
      </c>
      <c r="AK6" s="77">
        <v>9.8000000000000004E-2</v>
      </c>
      <c r="AL6" s="77">
        <v>12.6675</v>
      </c>
      <c r="AM6" s="77">
        <v>1.6E-2</v>
      </c>
      <c r="AN6" s="77">
        <v>0.54425000000000001</v>
      </c>
      <c r="AO6" s="77">
        <v>-4.2500000000000003E-3</v>
      </c>
      <c r="AP6" s="77">
        <v>-2.7499999999999998E-3</v>
      </c>
      <c r="AQ6" s="77">
        <v>3.6875</v>
      </c>
      <c r="AR6" s="77">
        <v>6.6250000000000003E-2</v>
      </c>
      <c r="AS6" s="77">
        <v>0.63224999999999998</v>
      </c>
      <c r="AT6" s="77">
        <v>1.325E-2</v>
      </c>
      <c r="AU6" s="77">
        <v>5.5E-2</v>
      </c>
      <c r="AV6" s="77">
        <v>8.7500000000000008E-3</v>
      </c>
      <c r="AW6" s="77">
        <v>2.2499999999999998E-3</v>
      </c>
      <c r="AX6" s="77">
        <v>7.0000000000000001E-3</v>
      </c>
      <c r="AY6" s="77">
        <v>1E-3</v>
      </c>
      <c r="AZ6" s="77">
        <v>7.0000000000000001E-3</v>
      </c>
      <c r="BA6" s="77">
        <v>1.25E-3</v>
      </c>
      <c r="BB6" s="77">
        <v>4.2500000000000003E-3</v>
      </c>
      <c r="BC6" s="77">
        <v>5.0000000000000001E-4</v>
      </c>
      <c r="BD6" s="77">
        <v>4.4999999999999997E-3</v>
      </c>
      <c r="BE6" s="77">
        <v>7.5000000000000002E-4</v>
      </c>
      <c r="BF6" s="77">
        <v>7.2500000000000004E-3</v>
      </c>
      <c r="BG6" s="77">
        <v>0</v>
      </c>
      <c r="BH6" s="77">
        <v>0.14025000000000001</v>
      </c>
      <c r="BI6" s="77">
        <v>2.7499999999999998E-3</v>
      </c>
      <c r="BJ6" s="77">
        <v>-5.0000000000000001E-4</v>
      </c>
      <c r="BK6" s="77">
        <v>-5.0000000000000001E-4</v>
      </c>
      <c r="BL6" s="77">
        <v>1.5E-3</v>
      </c>
      <c r="BM6" s="77">
        <v>0.45300000000000001</v>
      </c>
      <c r="BN6" s="77">
        <v>1.5289999999999999</v>
      </c>
      <c r="BO6" s="77">
        <v>5.8250000000000003E-2</v>
      </c>
      <c r="BP6" s="77">
        <v>0.2145</v>
      </c>
      <c r="BQ6" s="77">
        <v>0.11849999999999999</v>
      </c>
      <c r="BR6" s="79"/>
    </row>
    <row r="7" spans="1:73" ht="15" x14ac:dyDescent="0.25">
      <c r="A7" s="74" t="s">
        <v>171</v>
      </c>
      <c r="B7" s="50" t="s">
        <v>85</v>
      </c>
      <c r="C7" s="75" t="s">
        <v>170</v>
      </c>
      <c r="D7" s="76"/>
      <c r="E7" s="71">
        <v>0.249</v>
      </c>
      <c r="F7" s="77">
        <v>0</v>
      </c>
      <c r="G7" s="77">
        <v>945.3</v>
      </c>
      <c r="H7" s="77">
        <v>12.888</v>
      </c>
      <c r="I7" s="77">
        <v>69.75</v>
      </c>
      <c r="J7" s="77">
        <v>16.125</v>
      </c>
      <c r="K7" s="77">
        <v>855.3</v>
      </c>
      <c r="L7" s="77">
        <v>3546000</v>
      </c>
      <c r="M7" s="77">
        <v>0.34799999999999998</v>
      </c>
      <c r="N7" s="77">
        <v>194.4</v>
      </c>
      <c r="O7" s="77">
        <v>-3.5999999999999997E-2</v>
      </c>
      <c r="P7" s="77">
        <v>0.34799999999999998</v>
      </c>
      <c r="Q7" s="77">
        <v>0.63090000000000002</v>
      </c>
      <c r="R7" s="77">
        <v>0.37769999999999998</v>
      </c>
      <c r="S7" s="77">
        <v>0.55259999999999998</v>
      </c>
      <c r="T7" s="77">
        <v>216.57</v>
      </c>
      <c r="U7" s="78">
        <v>7.7399999999999997E-2</v>
      </c>
      <c r="V7" s="78">
        <v>10.617000000000001</v>
      </c>
      <c r="W7" s="78">
        <v>-4.899</v>
      </c>
      <c r="X7" s="78">
        <v>1650.6</v>
      </c>
      <c r="Y7" s="77">
        <v>1.5299999999999999E-2</v>
      </c>
      <c r="Z7" s="77">
        <v>1.0200000000000001E-2</v>
      </c>
      <c r="AA7" s="77">
        <v>4.4189999999999996</v>
      </c>
      <c r="AB7" s="77">
        <v>1.0569</v>
      </c>
      <c r="AC7" s="77">
        <v>2.6100000000000002E-2</v>
      </c>
      <c r="AD7" s="77">
        <v>2.0615999999999999</v>
      </c>
      <c r="AE7" s="77">
        <v>-2.9999999999999997E-4</v>
      </c>
      <c r="AF7" s="77">
        <v>1.38E-2</v>
      </c>
      <c r="AG7" s="77">
        <v>0</v>
      </c>
      <c r="AH7" s="77">
        <v>0.53369999999999995</v>
      </c>
      <c r="AI7" s="77">
        <v>0</v>
      </c>
      <c r="AJ7" s="77">
        <v>3.0000000000000001E-3</v>
      </c>
      <c r="AK7" s="77">
        <v>6.3E-3</v>
      </c>
      <c r="AL7" s="77">
        <v>25.155000000000001</v>
      </c>
      <c r="AM7" s="77">
        <v>0.15809999999999999</v>
      </c>
      <c r="AN7" s="77">
        <v>0.99150000000000005</v>
      </c>
      <c r="AO7" s="77">
        <v>0.15179999999999999</v>
      </c>
      <c r="AP7" s="77">
        <v>1.5E-3</v>
      </c>
      <c r="AQ7" s="77">
        <v>1.3992</v>
      </c>
      <c r="AR7" s="77">
        <v>2.9999999999999997E-4</v>
      </c>
      <c r="AS7" s="77">
        <v>5.9999999999999995E-4</v>
      </c>
      <c r="AT7" s="77">
        <v>0</v>
      </c>
      <c r="AU7" s="77">
        <v>0</v>
      </c>
      <c r="AV7" s="77">
        <v>-2.9999999999999997E-4</v>
      </c>
      <c r="AW7" s="77">
        <v>0</v>
      </c>
      <c r="AX7" s="77">
        <v>-2.3999999999999998E-3</v>
      </c>
      <c r="AY7" s="77">
        <v>0</v>
      </c>
      <c r="AZ7" s="77">
        <v>-2.9999999999999997E-4</v>
      </c>
      <c r="BA7" s="77">
        <v>0</v>
      </c>
      <c r="BB7" s="77">
        <v>0</v>
      </c>
      <c r="BC7" s="77">
        <v>0</v>
      </c>
      <c r="BD7" s="77">
        <v>-2.9999999999999997E-4</v>
      </c>
      <c r="BE7" s="77">
        <v>0</v>
      </c>
      <c r="BF7" s="77">
        <v>-2.9999999999999997E-4</v>
      </c>
      <c r="BG7" s="77">
        <v>0</v>
      </c>
      <c r="BH7" s="77">
        <v>3.9899999999999998E-2</v>
      </c>
      <c r="BI7" s="77">
        <v>8.9999999999999998E-4</v>
      </c>
      <c r="BJ7" s="77">
        <v>5.9999999999999995E-4</v>
      </c>
      <c r="BK7" s="77">
        <v>-2.9999999999999997E-4</v>
      </c>
      <c r="BL7" s="77">
        <v>-2.9999999999999997E-4</v>
      </c>
      <c r="BM7" s="77">
        <v>3.0000000000000001E-3</v>
      </c>
      <c r="BN7" s="77">
        <v>8.4599999999999995E-2</v>
      </c>
      <c r="BO7" s="77">
        <v>54.39</v>
      </c>
      <c r="BP7" s="77">
        <v>-2.8500000000000001E-2</v>
      </c>
      <c r="BQ7" s="77">
        <v>-2.3999999999999998E-3</v>
      </c>
      <c r="BR7" s="79"/>
    </row>
    <row r="8" spans="1:73" ht="15" x14ac:dyDescent="0.25">
      <c r="A8" s="74" t="s">
        <v>171</v>
      </c>
      <c r="B8" s="50" t="s">
        <v>85</v>
      </c>
      <c r="C8" s="75" t="s">
        <v>170</v>
      </c>
      <c r="D8" s="76"/>
      <c r="E8" s="71">
        <v>0.21959999999999999</v>
      </c>
      <c r="F8" s="77">
        <v>3.5999999999999999E-3</v>
      </c>
      <c r="G8" s="77">
        <v>951.6</v>
      </c>
      <c r="H8" s="77">
        <v>12.564</v>
      </c>
      <c r="I8" s="77">
        <v>66.569999999999993</v>
      </c>
      <c r="J8" s="77">
        <v>13.038</v>
      </c>
      <c r="K8" s="77">
        <v>830.4</v>
      </c>
      <c r="L8" s="77">
        <v>3426000</v>
      </c>
      <c r="M8" s="77">
        <v>0.27779999999999999</v>
      </c>
      <c r="N8" s="77">
        <v>184.8</v>
      </c>
      <c r="O8" s="77">
        <v>-3.5999999999999997E-2</v>
      </c>
      <c r="P8" s="77">
        <v>0.27779999999999999</v>
      </c>
      <c r="Q8" s="77">
        <v>0.61499999999999999</v>
      </c>
      <c r="R8" s="77">
        <v>0.36870000000000003</v>
      </c>
      <c r="S8" s="77">
        <v>0.56910000000000005</v>
      </c>
      <c r="T8" s="77">
        <v>191.34</v>
      </c>
      <c r="U8" s="78">
        <v>7.2599999999999998E-2</v>
      </c>
      <c r="V8" s="78">
        <v>10.461</v>
      </c>
      <c r="W8" s="78">
        <v>-4.899</v>
      </c>
      <c r="X8" s="78">
        <v>1559.4</v>
      </c>
      <c r="Y8" s="77">
        <v>1.44E-2</v>
      </c>
      <c r="Z8" s="77">
        <v>4.7999999999999996E-3</v>
      </c>
      <c r="AA8" s="77">
        <v>4.1639999999999997</v>
      </c>
      <c r="AB8" s="77">
        <v>1.4406000000000001</v>
      </c>
      <c r="AC8" s="77">
        <v>2.76E-2</v>
      </c>
      <c r="AD8" s="77">
        <v>1.9914000000000001</v>
      </c>
      <c r="AE8" s="77">
        <v>-5.9999999999999995E-4</v>
      </c>
      <c r="AF8" s="77">
        <v>1.26E-2</v>
      </c>
      <c r="AG8" s="77">
        <v>0</v>
      </c>
      <c r="AH8" s="77">
        <v>0.3543</v>
      </c>
      <c r="AI8" s="77">
        <v>0</v>
      </c>
      <c r="AJ8" s="77">
        <v>2.7000000000000001E-3</v>
      </c>
      <c r="AK8" s="77">
        <v>4.4999999999999997E-3</v>
      </c>
      <c r="AL8" s="77">
        <v>26.024999999999999</v>
      </c>
      <c r="AM8" s="77">
        <v>0.1734</v>
      </c>
      <c r="AN8" s="77">
        <v>1.0377000000000001</v>
      </c>
      <c r="AO8" s="77">
        <v>0.15029999999999999</v>
      </c>
      <c r="AP8" s="77">
        <v>1.8E-3</v>
      </c>
      <c r="AQ8" s="77">
        <v>1.4898</v>
      </c>
      <c r="AR8" s="77">
        <v>2.9999999999999997E-4</v>
      </c>
      <c r="AS8" s="77">
        <v>5.9999999999999995E-4</v>
      </c>
      <c r="AT8" s="77">
        <v>0</v>
      </c>
      <c r="AU8" s="77">
        <v>0</v>
      </c>
      <c r="AV8" s="77">
        <v>-2.9999999999999997E-4</v>
      </c>
      <c r="AW8" s="77">
        <v>0</v>
      </c>
      <c r="AX8" s="77">
        <v>-2.3999999999999998E-3</v>
      </c>
      <c r="AY8" s="77">
        <v>0</v>
      </c>
      <c r="AZ8" s="77">
        <v>-2.9999999999999997E-4</v>
      </c>
      <c r="BA8" s="77">
        <v>0</v>
      </c>
      <c r="BB8" s="77">
        <v>0</v>
      </c>
      <c r="BC8" s="77">
        <v>0</v>
      </c>
      <c r="BD8" s="77">
        <v>-2.9999999999999997E-4</v>
      </c>
      <c r="BE8" s="77">
        <v>0</v>
      </c>
      <c r="BF8" s="77">
        <v>2.9999999999999997E-4</v>
      </c>
      <c r="BG8" s="77">
        <v>0</v>
      </c>
      <c r="BH8" s="77">
        <v>4.6199999999999998E-2</v>
      </c>
      <c r="BI8" s="77">
        <v>1.5E-3</v>
      </c>
      <c r="BJ8" s="77">
        <v>5.9999999999999995E-4</v>
      </c>
      <c r="BK8" s="77">
        <v>0</v>
      </c>
      <c r="BL8" s="77">
        <v>-2.9999999999999997E-4</v>
      </c>
      <c r="BM8" s="77">
        <v>2.0999999999999999E-3</v>
      </c>
      <c r="BN8" s="77">
        <v>9.0899999999999995E-2</v>
      </c>
      <c r="BO8" s="77">
        <v>61.86</v>
      </c>
      <c r="BP8" s="77">
        <v>-2.8799999999999999E-2</v>
      </c>
      <c r="BQ8" s="77">
        <v>-2.3999999999999998E-3</v>
      </c>
      <c r="BR8" s="79"/>
    </row>
    <row r="9" spans="1:73" ht="15" x14ac:dyDescent="0.25">
      <c r="A9" s="74" t="s">
        <v>171</v>
      </c>
      <c r="B9" s="50" t="s">
        <v>85</v>
      </c>
      <c r="C9" s="75" t="s">
        <v>170</v>
      </c>
      <c r="D9" s="76"/>
      <c r="E9" s="71">
        <v>0.25440000000000002</v>
      </c>
      <c r="F9" s="77">
        <v>2.3999999999999998E-3</v>
      </c>
      <c r="G9" s="77">
        <v>1044.5999999999999</v>
      </c>
      <c r="H9" s="77">
        <v>13.308</v>
      </c>
      <c r="I9" s="77">
        <v>68.37</v>
      </c>
      <c r="J9" s="77">
        <v>18.143999999999998</v>
      </c>
      <c r="K9" s="77">
        <v>827.7</v>
      </c>
      <c r="L9" s="77">
        <v>3708000</v>
      </c>
      <c r="M9" s="77">
        <v>0.33989999999999998</v>
      </c>
      <c r="N9" s="77">
        <v>198.45</v>
      </c>
      <c r="O9" s="77">
        <v>-3.5999999999999997E-2</v>
      </c>
      <c r="P9" s="77">
        <v>0.33989999999999998</v>
      </c>
      <c r="Q9" s="77">
        <v>0.66149999999999998</v>
      </c>
      <c r="R9" s="77">
        <v>0.38429999999999997</v>
      </c>
      <c r="S9" s="77">
        <v>0.60929999999999995</v>
      </c>
      <c r="T9" s="77">
        <v>207.18</v>
      </c>
      <c r="U9" s="78">
        <v>8.1000000000000003E-2</v>
      </c>
      <c r="V9" s="78">
        <v>11.135999999999999</v>
      </c>
      <c r="W9" s="78">
        <v>-4.899</v>
      </c>
      <c r="X9" s="78">
        <v>1674.9</v>
      </c>
      <c r="Y9" s="77">
        <v>1.0500000000000001E-2</v>
      </c>
      <c r="Z9" s="77">
        <v>6.8999999999999999E-3</v>
      </c>
      <c r="AA9" s="77">
        <v>4.5570000000000004</v>
      </c>
      <c r="AB9" s="77">
        <v>1.3563000000000001</v>
      </c>
      <c r="AC9" s="77">
        <v>2.6100000000000002E-2</v>
      </c>
      <c r="AD9" s="77">
        <v>2.1602999999999999</v>
      </c>
      <c r="AE9" s="77">
        <v>-5.9999999999999995E-4</v>
      </c>
      <c r="AF9" s="77">
        <v>1.4999999999999999E-2</v>
      </c>
      <c r="AG9" s="77">
        <v>0</v>
      </c>
      <c r="AH9" s="77">
        <v>0.31019999999999998</v>
      </c>
      <c r="AI9" s="77">
        <v>0</v>
      </c>
      <c r="AJ9" s="77">
        <v>2.7000000000000001E-3</v>
      </c>
      <c r="AK9" s="77">
        <v>3.8999999999999998E-3</v>
      </c>
      <c r="AL9" s="77">
        <v>28.869</v>
      </c>
      <c r="AM9" s="77">
        <v>0.189</v>
      </c>
      <c r="AN9" s="77">
        <v>1.1616</v>
      </c>
      <c r="AO9" s="77">
        <v>0.2475</v>
      </c>
      <c r="AP9" s="77">
        <v>2.3999999999999998E-3</v>
      </c>
      <c r="AQ9" s="77">
        <v>1.5935999999999999</v>
      </c>
      <c r="AR9" s="77">
        <v>2.9999999999999997E-4</v>
      </c>
      <c r="AS9" s="77">
        <v>2.9999999999999997E-4</v>
      </c>
      <c r="AT9" s="77">
        <v>0</v>
      </c>
      <c r="AU9" s="77">
        <v>0</v>
      </c>
      <c r="AV9" s="77">
        <v>-5.9999999999999995E-4</v>
      </c>
      <c r="AW9" s="77">
        <v>0</v>
      </c>
      <c r="AX9" s="77">
        <v>-2.3999999999999998E-3</v>
      </c>
      <c r="AY9" s="77">
        <v>0</v>
      </c>
      <c r="AZ9" s="77">
        <v>-2.9999999999999997E-4</v>
      </c>
      <c r="BA9" s="77">
        <v>0</v>
      </c>
      <c r="BB9" s="77">
        <v>0</v>
      </c>
      <c r="BC9" s="77">
        <v>0</v>
      </c>
      <c r="BD9" s="77">
        <v>-2.9999999999999997E-4</v>
      </c>
      <c r="BE9" s="77">
        <v>0</v>
      </c>
      <c r="BF9" s="77">
        <v>2.9999999999999997E-4</v>
      </c>
      <c r="BG9" s="77">
        <v>0</v>
      </c>
      <c r="BH9" s="77">
        <v>5.8799999999999998E-2</v>
      </c>
      <c r="BI9" s="77">
        <v>1.1999999999999999E-3</v>
      </c>
      <c r="BJ9" s="77">
        <v>1.5E-3</v>
      </c>
      <c r="BK9" s="77">
        <v>0</v>
      </c>
      <c r="BL9" s="77">
        <v>-2.9999999999999997E-4</v>
      </c>
      <c r="BM9" s="77">
        <v>1.1999999999999999E-3</v>
      </c>
      <c r="BN9" s="77">
        <v>0.1065</v>
      </c>
      <c r="BO9" s="77">
        <v>71.73</v>
      </c>
      <c r="BP9" s="77">
        <v>-2.8500000000000001E-2</v>
      </c>
      <c r="BQ9" s="77">
        <v>-2.3999999999999998E-3</v>
      </c>
      <c r="BR9" s="79"/>
    </row>
    <row r="10" spans="1:73" ht="15" x14ac:dyDescent="0.25">
      <c r="A10" s="74" t="s">
        <v>172</v>
      </c>
      <c r="B10" s="50" t="s">
        <v>86</v>
      </c>
      <c r="C10" s="75" t="s">
        <v>170</v>
      </c>
      <c r="D10" s="76"/>
      <c r="E10" s="71">
        <v>0.23519999999999999</v>
      </c>
      <c r="F10" s="77">
        <v>0</v>
      </c>
      <c r="G10" s="77">
        <v>382.34</v>
      </c>
      <c r="H10" s="77">
        <v>2.8881999999999999</v>
      </c>
      <c r="I10" s="77">
        <v>42406</v>
      </c>
      <c r="J10" s="77">
        <v>9.9400000000000002E-2</v>
      </c>
      <c r="K10" s="77">
        <v>436.8</v>
      </c>
      <c r="L10" s="77">
        <v>4390400</v>
      </c>
      <c r="M10" s="77">
        <v>2.1909999999999998</v>
      </c>
      <c r="N10" s="77">
        <v>270.33999999999997</v>
      </c>
      <c r="O10" s="77">
        <v>-0.14419999999999999</v>
      </c>
      <c r="P10" s="77">
        <v>2.1909999999999998</v>
      </c>
      <c r="Q10" s="77">
        <v>5.9234</v>
      </c>
      <c r="R10" s="77">
        <v>0.37240000000000001</v>
      </c>
      <c r="S10" s="77">
        <v>0.39479999999999998</v>
      </c>
      <c r="T10" s="77">
        <v>957.04</v>
      </c>
      <c r="U10" s="78">
        <v>7.0000000000000007E-2</v>
      </c>
      <c r="V10" s="78">
        <v>1.9838</v>
      </c>
      <c r="W10" s="78">
        <v>171.08</v>
      </c>
      <c r="X10" s="78">
        <v>16.771999999999998</v>
      </c>
      <c r="Y10" s="77">
        <v>67.83</v>
      </c>
      <c r="Z10" s="77">
        <v>7.4200000000000002E-2</v>
      </c>
      <c r="AA10" s="77">
        <v>0.3332</v>
      </c>
      <c r="AB10" s="77">
        <v>-0.25900000000000001</v>
      </c>
      <c r="AC10" s="77">
        <v>1.8200000000000001E-2</v>
      </c>
      <c r="AD10" s="77">
        <v>0.1106</v>
      </c>
      <c r="AE10" s="77">
        <v>1.12E-2</v>
      </c>
      <c r="AF10" s="77">
        <v>0.20580000000000001</v>
      </c>
      <c r="AG10" s="77">
        <v>0</v>
      </c>
      <c r="AH10" s="77">
        <v>4.48E-2</v>
      </c>
      <c r="AI10" s="77">
        <v>-1.4E-3</v>
      </c>
      <c r="AJ10" s="77">
        <v>1.4E-3</v>
      </c>
      <c r="AK10" s="77">
        <v>-1.4E-3</v>
      </c>
      <c r="AL10" s="77">
        <v>-0.6986</v>
      </c>
      <c r="AM10" s="77">
        <v>-1.54E-2</v>
      </c>
      <c r="AN10" s="77">
        <v>-5.5999999999999999E-3</v>
      </c>
      <c r="AO10" s="77">
        <v>-5.8799999999999998E-2</v>
      </c>
      <c r="AP10" s="77">
        <v>-2.52E-2</v>
      </c>
      <c r="AQ10" s="77">
        <v>4.6059999999999999</v>
      </c>
      <c r="AR10" s="77">
        <v>0.56000000000000005</v>
      </c>
      <c r="AS10" s="77">
        <v>8.9599999999999999E-2</v>
      </c>
      <c r="AT10" s="77">
        <v>5.5999999999999999E-3</v>
      </c>
      <c r="AU10" s="77">
        <v>2.52E-2</v>
      </c>
      <c r="AV10" s="77">
        <v>2.8E-3</v>
      </c>
      <c r="AW10" s="77">
        <v>0</v>
      </c>
      <c r="AX10" s="77">
        <v>-5.5999999999999999E-3</v>
      </c>
      <c r="AY10" s="77">
        <v>0</v>
      </c>
      <c r="AZ10" s="77">
        <v>2.8E-3</v>
      </c>
      <c r="BA10" s="77">
        <v>0</v>
      </c>
      <c r="BB10" s="77">
        <v>1.4E-3</v>
      </c>
      <c r="BC10" s="77">
        <v>0</v>
      </c>
      <c r="BD10" s="77">
        <v>1.4E-3</v>
      </c>
      <c r="BE10" s="77">
        <v>0</v>
      </c>
      <c r="BF10" s="77">
        <v>1.4E-3</v>
      </c>
      <c r="BG10" s="77">
        <v>0</v>
      </c>
      <c r="BH10" s="77">
        <v>-0.13020000000000001</v>
      </c>
      <c r="BI10" s="77">
        <v>-1.4E-3</v>
      </c>
      <c r="BJ10" s="77">
        <v>-2.8E-3</v>
      </c>
      <c r="BK10" s="77">
        <v>-4.1999999999999997E-3</v>
      </c>
      <c r="BL10" s="77">
        <v>0</v>
      </c>
      <c r="BM10" s="77">
        <v>2.52E-2</v>
      </c>
      <c r="BN10" s="77">
        <v>-4.0599999999999997E-2</v>
      </c>
      <c r="BO10" s="77">
        <v>0.23519999999999999</v>
      </c>
      <c r="BP10" s="77">
        <v>-0.1148</v>
      </c>
      <c r="BQ10" s="77">
        <v>7.6999999999999999E-2</v>
      </c>
      <c r="BR10" s="79"/>
    </row>
    <row r="11" spans="1:73" ht="15" x14ac:dyDescent="0.25">
      <c r="A11" s="74" t="s">
        <v>172</v>
      </c>
      <c r="B11" s="50" t="s">
        <v>86</v>
      </c>
      <c r="C11" s="75" t="s">
        <v>170</v>
      </c>
      <c r="D11" s="76"/>
      <c r="E11" s="71">
        <v>0.3276</v>
      </c>
      <c r="F11" s="77">
        <v>0</v>
      </c>
      <c r="G11" s="77">
        <v>372.4</v>
      </c>
      <c r="H11" s="77">
        <v>2.9763999999999999</v>
      </c>
      <c r="I11" s="77">
        <v>43106</v>
      </c>
      <c r="J11" s="77">
        <v>-0.61599999999999999</v>
      </c>
      <c r="K11" s="77">
        <v>397.74</v>
      </c>
      <c r="L11" s="77">
        <v>4489800</v>
      </c>
      <c r="M11" s="77">
        <v>2.6404000000000001</v>
      </c>
      <c r="N11" s="77">
        <v>281.39999999999998</v>
      </c>
      <c r="O11" s="77">
        <v>-0.1484</v>
      </c>
      <c r="P11" s="77">
        <v>2.6404000000000001</v>
      </c>
      <c r="Q11" s="77">
        <v>6.0438000000000001</v>
      </c>
      <c r="R11" s="77">
        <v>0.38640000000000002</v>
      </c>
      <c r="S11" s="77">
        <v>0.39760000000000001</v>
      </c>
      <c r="T11" s="77">
        <v>1057.8399999999999</v>
      </c>
      <c r="U11" s="78">
        <v>6.5799999999999997E-2</v>
      </c>
      <c r="V11" s="78">
        <v>2.0005999999999999</v>
      </c>
      <c r="W11" s="78">
        <v>38.822000000000003</v>
      </c>
      <c r="X11" s="78">
        <v>7.4298000000000002</v>
      </c>
      <c r="Y11" s="77">
        <v>66.766000000000005</v>
      </c>
      <c r="Z11" s="77">
        <v>8.2600000000000007E-2</v>
      </c>
      <c r="AA11" s="77">
        <v>0.32479999999999998</v>
      </c>
      <c r="AB11" s="77">
        <v>-0.35560000000000003</v>
      </c>
      <c r="AC11" s="77">
        <v>2.52E-2</v>
      </c>
      <c r="AD11" s="77">
        <v>0.1162</v>
      </c>
      <c r="AE11" s="77">
        <v>2.24E-2</v>
      </c>
      <c r="AF11" s="77">
        <v>0.22539999999999999</v>
      </c>
      <c r="AG11" s="77">
        <v>0</v>
      </c>
      <c r="AH11" s="77">
        <v>8.2600000000000007E-2</v>
      </c>
      <c r="AI11" s="77">
        <v>-1.4E-3</v>
      </c>
      <c r="AJ11" s="77">
        <v>0</v>
      </c>
      <c r="AK11" s="77">
        <v>4.1999999999999997E-3</v>
      </c>
      <c r="AL11" s="77">
        <v>-0.78259999999999996</v>
      </c>
      <c r="AM11" s="77">
        <v>-1.54E-2</v>
      </c>
      <c r="AN11" s="77">
        <v>-4.1999999999999997E-3</v>
      </c>
      <c r="AO11" s="77">
        <v>-5.8799999999999998E-2</v>
      </c>
      <c r="AP11" s="77">
        <v>-2.52E-2</v>
      </c>
      <c r="AQ11" s="77">
        <v>4.0810000000000004</v>
      </c>
      <c r="AR11" s="77">
        <v>0.94640000000000002</v>
      </c>
      <c r="AS11" s="77">
        <v>0.14699999999999999</v>
      </c>
      <c r="AT11" s="77">
        <v>1.12E-2</v>
      </c>
      <c r="AU11" s="77">
        <v>3.78E-2</v>
      </c>
      <c r="AV11" s="77">
        <v>7.0000000000000001E-3</v>
      </c>
      <c r="AW11" s="77">
        <v>0</v>
      </c>
      <c r="AX11" s="77">
        <v>-5.5999999999999999E-3</v>
      </c>
      <c r="AY11" s="77">
        <v>1.4E-3</v>
      </c>
      <c r="AZ11" s="77">
        <v>9.7999999999999997E-3</v>
      </c>
      <c r="BA11" s="77">
        <v>0</v>
      </c>
      <c r="BB11" s="77">
        <v>1.4E-3</v>
      </c>
      <c r="BC11" s="77">
        <v>0</v>
      </c>
      <c r="BD11" s="77">
        <v>0</v>
      </c>
      <c r="BE11" s="77">
        <v>0</v>
      </c>
      <c r="BF11" s="77">
        <v>4.1999999999999997E-3</v>
      </c>
      <c r="BG11" s="77">
        <v>0</v>
      </c>
      <c r="BH11" s="77">
        <v>-0.13020000000000001</v>
      </c>
      <c r="BI11" s="77">
        <v>-1.4E-3</v>
      </c>
      <c r="BJ11" s="77">
        <v>-2.8E-3</v>
      </c>
      <c r="BK11" s="77">
        <v>-4.1999999999999997E-3</v>
      </c>
      <c r="BL11" s="77">
        <v>0</v>
      </c>
      <c r="BM11" s="77">
        <v>3.2199999999999999E-2</v>
      </c>
      <c r="BN11" s="77">
        <v>-5.1799999999999999E-2</v>
      </c>
      <c r="BO11" s="77">
        <v>-8.1199999999999994E-2</v>
      </c>
      <c r="BP11" s="77">
        <v>-8.5400000000000004E-2</v>
      </c>
      <c r="BQ11" s="77">
        <v>0.13159999999999999</v>
      </c>
      <c r="BR11" s="79"/>
    </row>
    <row r="12" spans="1:73" ht="15" x14ac:dyDescent="0.25">
      <c r="A12" s="74" t="s">
        <v>172</v>
      </c>
      <c r="B12" s="50" t="s">
        <v>86</v>
      </c>
      <c r="C12" s="75" t="s">
        <v>170</v>
      </c>
      <c r="D12" s="76"/>
      <c r="E12" s="71">
        <v>0.19320000000000001</v>
      </c>
      <c r="F12" s="77">
        <v>0</v>
      </c>
      <c r="G12" s="77">
        <v>381.36</v>
      </c>
      <c r="H12" s="77">
        <v>2.6669999999999998</v>
      </c>
      <c r="I12" s="77">
        <v>42084</v>
      </c>
      <c r="J12" s="77">
        <v>-0.82740000000000002</v>
      </c>
      <c r="K12" s="77">
        <v>277.2</v>
      </c>
      <c r="L12" s="77">
        <v>4652200</v>
      </c>
      <c r="M12" s="77">
        <v>2.8363999999999998</v>
      </c>
      <c r="N12" s="77">
        <v>272.16000000000003</v>
      </c>
      <c r="O12" s="77">
        <v>-0.12740000000000001</v>
      </c>
      <c r="P12" s="77">
        <v>2.8363999999999998</v>
      </c>
      <c r="Q12" s="77">
        <v>5.9471999999999996</v>
      </c>
      <c r="R12" s="77">
        <v>0.3654</v>
      </c>
      <c r="S12" s="77">
        <v>0.3836</v>
      </c>
      <c r="T12" s="77">
        <v>1079.54</v>
      </c>
      <c r="U12" s="78">
        <v>6.1600000000000002E-2</v>
      </c>
      <c r="V12" s="78">
        <v>1.8815999999999999</v>
      </c>
      <c r="W12" s="78">
        <v>10.452400000000001</v>
      </c>
      <c r="X12" s="78">
        <v>1.7766</v>
      </c>
      <c r="Y12" s="77">
        <v>68.837999999999994</v>
      </c>
      <c r="Z12" s="77">
        <v>0.1036</v>
      </c>
      <c r="AA12" s="77">
        <v>0.25619999999999998</v>
      </c>
      <c r="AB12" s="77">
        <v>-0.35560000000000003</v>
      </c>
      <c r="AC12" s="77">
        <v>3.0800000000000001E-2</v>
      </c>
      <c r="AD12" s="77">
        <v>0.1036</v>
      </c>
      <c r="AE12" s="77">
        <v>1.8200000000000001E-2</v>
      </c>
      <c r="AF12" s="77">
        <v>0.23799999999999999</v>
      </c>
      <c r="AG12" s="77">
        <v>0</v>
      </c>
      <c r="AH12" s="77">
        <v>7.2800000000000004E-2</v>
      </c>
      <c r="AI12" s="77">
        <v>1.4E-3</v>
      </c>
      <c r="AJ12" s="77">
        <v>0</v>
      </c>
      <c r="AK12" s="77">
        <v>9.7999999999999997E-3</v>
      </c>
      <c r="AL12" s="77">
        <v>-0.79520000000000002</v>
      </c>
      <c r="AM12" s="77">
        <v>-1.54E-2</v>
      </c>
      <c r="AN12" s="77">
        <v>-4.1999999999999997E-3</v>
      </c>
      <c r="AO12" s="77">
        <v>-6.7199999999999996E-2</v>
      </c>
      <c r="AP12" s="77">
        <v>-2.52E-2</v>
      </c>
      <c r="AQ12" s="77">
        <v>4.3596000000000004</v>
      </c>
      <c r="AR12" s="77">
        <v>0.92820000000000003</v>
      </c>
      <c r="AS12" s="77">
        <v>0.15260000000000001</v>
      </c>
      <c r="AT12" s="77">
        <v>9.7999999999999997E-3</v>
      </c>
      <c r="AU12" s="77">
        <v>4.48E-2</v>
      </c>
      <c r="AV12" s="77">
        <v>8.3999999999999995E-3</v>
      </c>
      <c r="AW12" s="77">
        <v>1.4E-3</v>
      </c>
      <c r="AX12" s="77">
        <v>2.8E-3</v>
      </c>
      <c r="AY12" s="77">
        <v>0</v>
      </c>
      <c r="AZ12" s="77">
        <v>7.0000000000000001E-3</v>
      </c>
      <c r="BA12" s="77">
        <v>1.4E-3</v>
      </c>
      <c r="BB12" s="77">
        <v>1.4E-3</v>
      </c>
      <c r="BC12" s="77">
        <v>0</v>
      </c>
      <c r="BD12" s="77">
        <v>1.4E-3</v>
      </c>
      <c r="BE12" s="77">
        <v>0</v>
      </c>
      <c r="BF12" s="77">
        <v>5.5999999999999999E-3</v>
      </c>
      <c r="BG12" s="77">
        <v>0</v>
      </c>
      <c r="BH12" s="77">
        <v>-0.13020000000000001</v>
      </c>
      <c r="BI12" s="77">
        <v>-1.4E-3</v>
      </c>
      <c r="BJ12" s="77">
        <v>-2.8E-3</v>
      </c>
      <c r="BK12" s="77">
        <v>-4.1999999999999997E-3</v>
      </c>
      <c r="BL12" s="77">
        <v>1.4E-3</v>
      </c>
      <c r="BM12" s="77">
        <v>2.6599999999999999E-2</v>
      </c>
      <c r="BN12" s="77">
        <v>-5.4600000000000003E-2</v>
      </c>
      <c r="BO12" s="77">
        <v>-0.1134</v>
      </c>
      <c r="BP12" s="77">
        <v>-7.9799999999999996E-2</v>
      </c>
      <c r="BQ12" s="77">
        <v>0.14699999999999999</v>
      </c>
      <c r="BR12" s="79"/>
    </row>
    <row r="13" spans="1:73" ht="15" x14ac:dyDescent="0.25">
      <c r="A13" s="74" t="s">
        <v>173</v>
      </c>
      <c r="B13" s="50" t="s">
        <v>87</v>
      </c>
      <c r="C13" s="75" t="s">
        <v>170</v>
      </c>
      <c r="D13" s="76"/>
      <c r="E13" s="77">
        <v>0.62519999999999998</v>
      </c>
      <c r="F13" s="77">
        <v>6.5199999999999994E-2</v>
      </c>
      <c r="G13" s="77">
        <v>1785.2</v>
      </c>
      <c r="H13" s="77">
        <v>134.16</v>
      </c>
      <c r="I13" s="77">
        <v>944</v>
      </c>
      <c r="J13" s="77">
        <v>31.923999999999999</v>
      </c>
      <c r="K13" s="77">
        <v>5628</v>
      </c>
      <c r="L13" s="77">
        <v>1563600</v>
      </c>
      <c r="M13" s="77">
        <v>50.12</v>
      </c>
      <c r="N13" s="77">
        <v>594.79999999999995</v>
      </c>
      <c r="O13" s="77">
        <v>0.46639999999999998</v>
      </c>
      <c r="P13" s="77">
        <v>50.12</v>
      </c>
      <c r="Q13" s="77">
        <v>0.93</v>
      </c>
      <c r="R13" s="77">
        <v>0.23280000000000001</v>
      </c>
      <c r="S13" s="77">
        <v>81.72</v>
      </c>
      <c r="T13" s="77">
        <v>1093.2</v>
      </c>
      <c r="U13" s="78">
        <v>1.6879999999999999</v>
      </c>
      <c r="V13" s="78">
        <v>3.206</v>
      </c>
      <c r="W13" s="78">
        <v>157.24</v>
      </c>
      <c r="X13" s="78">
        <v>602</v>
      </c>
      <c r="Y13" s="77">
        <v>8.4400000000000003E-2</v>
      </c>
      <c r="Z13" s="77">
        <v>0.114</v>
      </c>
      <c r="AA13" s="77">
        <v>0.78759999999999997</v>
      </c>
      <c r="AB13" s="77">
        <v>0.45760000000000001</v>
      </c>
      <c r="AC13" s="77">
        <v>3.9600000000000003E-2</v>
      </c>
      <c r="AD13" s="77">
        <v>35.795999999999999</v>
      </c>
      <c r="AE13" s="77">
        <v>1.5436000000000001</v>
      </c>
      <c r="AF13" s="77">
        <v>1.456</v>
      </c>
      <c r="AG13" s="77">
        <v>0</v>
      </c>
      <c r="AH13" s="77">
        <v>0.57679999999999998</v>
      </c>
      <c r="AI13" s="77">
        <v>-4.0000000000000002E-4</v>
      </c>
      <c r="AJ13" s="77">
        <v>0</v>
      </c>
      <c r="AK13" s="77">
        <v>4.1599999999999998E-2</v>
      </c>
      <c r="AL13" s="77">
        <v>0.13120000000000001</v>
      </c>
      <c r="AM13" s="77">
        <v>6.4000000000000003E-3</v>
      </c>
      <c r="AN13" s="77">
        <v>5.5999999999999999E-3</v>
      </c>
      <c r="AO13" s="77">
        <v>-1.9199999999999998E-2</v>
      </c>
      <c r="AP13" s="77">
        <v>-3.5999999999999999E-3</v>
      </c>
      <c r="AQ13" s="77">
        <v>26.648</v>
      </c>
      <c r="AR13" s="77">
        <v>1.1288</v>
      </c>
      <c r="AS13" s="77">
        <v>2.2795999999999998</v>
      </c>
      <c r="AT13" s="77">
        <v>0.28999999999999998</v>
      </c>
      <c r="AU13" s="77">
        <v>1.1759999999999999</v>
      </c>
      <c r="AV13" s="77">
        <v>0.25440000000000002</v>
      </c>
      <c r="AW13" s="77">
        <v>4.7199999999999999E-2</v>
      </c>
      <c r="AX13" s="77">
        <v>0.26840000000000003</v>
      </c>
      <c r="AY13" s="77">
        <v>3.9199999999999999E-2</v>
      </c>
      <c r="AZ13" s="77">
        <v>0.2172</v>
      </c>
      <c r="BA13" s="77">
        <v>4.2799999999999998E-2</v>
      </c>
      <c r="BB13" s="77">
        <v>0.12239999999999999</v>
      </c>
      <c r="BC13" s="77">
        <v>1.6400000000000001E-2</v>
      </c>
      <c r="BD13" s="77">
        <v>9.6000000000000002E-2</v>
      </c>
      <c r="BE13" s="77">
        <v>1.0800000000000001E-2</v>
      </c>
      <c r="BF13" s="77">
        <v>6.5199999999999994E-2</v>
      </c>
      <c r="BG13" s="77">
        <v>8.0000000000000004E-4</v>
      </c>
      <c r="BH13" s="77">
        <v>3.7999999999999999E-2</v>
      </c>
      <c r="BI13" s="77">
        <v>7.8399999999999997E-2</v>
      </c>
      <c r="BJ13" s="77">
        <v>-8.0000000000000004E-4</v>
      </c>
      <c r="BK13" s="77">
        <v>-1.1999999999999999E-3</v>
      </c>
      <c r="BL13" s="77">
        <v>1.1999999999999999E-3</v>
      </c>
      <c r="BM13" s="77">
        <v>5.1200000000000002E-2</v>
      </c>
      <c r="BN13" s="77">
        <v>5.5999999999999999E-3</v>
      </c>
      <c r="BO13" s="77">
        <v>0.3196</v>
      </c>
      <c r="BP13" s="77">
        <v>0.4148</v>
      </c>
      <c r="BQ13" s="77">
        <v>0.3644</v>
      </c>
      <c r="BR13" s="79"/>
    </row>
    <row r="14" spans="1:73" ht="15" x14ac:dyDescent="0.25">
      <c r="A14" s="74" t="s">
        <v>173</v>
      </c>
      <c r="B14" s="50" t="s">
        <v>87</v>
      </c>
      <c r="C14" s="75" t="s">
        <v>170</v>
      </c>
      <c r="D14" s="76"/>
      <c r="E14" s="77">
        <v>0.63</v>
      </c>
      <c r="F14" s="77">
        <v>8.5199999999999998E-2</v>
      </c>
      <c r="G14" s="77">
        <v>1832.4</v>
      </c>
      <c r="H14" s="77">
        <v>142</v>
      </c>
      <c r="I14" s="77">
        <v>980.8</v>
      </c>
      <c r="J14" s="77">
        <v>28.812000000000001</v>
      </c>
      <c r="K14" s="77">
        <v>5792</v>
      </c>
      <c r="L14" s="77">
        <v>1659200</v>
      </c>
      <c r="M14" s="77">
        <v>55.12</v>
      </c>
      <c r="N14" s="77">
        <v>610.4</v>
      </c>
      <c r="O14" s="77">
        <v>1.1556</v>
      </c>
      <c r="P14" s="77">
        <v>55.12</v>
      </c>
      <c r="Q14" s="77">
        <v>1.0371999999999999</v>
      </c>
      <c r="R14" s="77">
        <v>0.26640000000000003</v>
      </c>
      <c r="S14" s="77">
        <v>87.92</v>
      </c>
      <c r="T14" s="77">
        <v>1116.4000000000001</v>
      </c>
      <c r="U14" s="78">
        <v>1.7727999999999999</v>
      </c>
      <c r="V14" s="78">
        <v>3.3235999999999999</v>
      </c>
      <c r="W14" s="78">
        <v>154.08000000000001</v>
      </c>
      <c r="X14" s="78">
        <v>641.20000000000005</v>
      </c>
      <c r="Y14" s="77">
        <v>7.9200000000000007E-2</v>
      </c>
      <c r="Z14" s="77">
        <v>0.128</v>
      </c>
      <c r="AA14" s="77">
        <v>0.85440000000000005</v>
      </c>
      <c r="AB14" s="77">
        <v>0.438</v>
      </c>
      <c r="AC14" s="77">
        <v>3.9600000000000003E-2</v>
      </c>
      <c r="AD14" s="77">
        <v>38.244</v>
      </c>
      <c r="AE14" s="77">
        <v>2.5444</v>
      </c>
      <c r="AF14" s="77">
        <v>1.4703999999999999</v>
      </c>
      <c r="AG14" s="77">
        <v>0</v>
      </c>
      <c r="AH14" s="77">
        <v>0.56559999999999999</v>
      </c>
      <c r="AI14" s="77">
        <v>-4.0000000000000002E-4</v>
      </c>
      <c r="AJ14" s="77">
        <v>4.0000000000000002E-4</v>
      </c>
      <c r="AK14" s="77">
        <v>8.3199999999999996E-2</v>
      </c>
      <c r="AL14" s="77">
        <v>-1.0800000000000001E-2</v>
      </c>
      <c r="AM14" s="77">
        <v>4.7999999999999996E-3</v>
      </c>
      <c r="AN14" s="77">
        <v>4.7999999999999996E-3</v>
      </c>
      <c r="AO14" s="77">
        <v>-1.9199999999999998E-2</v>
      </c>
      <c r="AP14" s="77">
        <v>0</v>
      </c>
      <c r="AQ14" s="77">
        <v>27.052</v>
      </c>
      <c r="AR14" s="77">
        <v>1.8208</v>
      </c>
      <c r="AS14" s="77">
        <v>3.6711999999999998</v>
      </c>
      <c r="AT14" s="77">
        <v>0.4652</v>
      </c>
      <c r="AU14" s="77">
        <v>1.8460000000000001</v>
      </c>
      <c r="AV14" s="77">
        <v>0.41599999999999998</v>
      </c>
      <c r="AW14" s="77">
        <v>8.0799999999999997E-2</v>
      </c>
      <c r="AX14" s="77">
        <v>0.4536</v>
      </c>
      <c r="AY14" s="77">
        <v>6.4399999999999999E-2</v>
      </c>
      <c r="AZ14" s="77">
        <v>0.3664</v>
      </c>
      <c r="BA14" s="77">
        <v>6.9599999999999995E-2</v>
      </c>
      <c r="BB14" s="77">
        <v>0.2</v>
      </c>
      <c r="BC14" s="77">
        <v>2.5600000000000001E-2</v>
      </c>
      <c r="BD14" s="77">
        <v>0.14080000000000001</v>
      </c>
      <c r="BE14" s="77">
        <v>1.8800000000000001E-2</v>
      </c>
      <c r="BF14" s="77">
        <v>6.4000000000000001E-2</v>
      </c>
      <c r="BG14" s="77">
        <v>4.0000000000000002E-4</v>
      </c>
      <c r="BH14" s="77">
        <v>5.3999999999999999E-2</v>
      </c>
      <c r="BI14" s="77">
        <v>8.2799999999999999E-2</v>
      </c>
      <c r="BJ14" s="77">
        <v>-1.1999999999999999E-3</v>
      </c>
      <c r="BK14" s="77">
        <v>-8.0000000000000004E-4</v>
      </c>
      <c r="BL14" s="77">
        <v>2E-3</v>
      </c>
      <c r="BM14" s="77">
        <v>9.1200000000000003E-2</v>
      </c>
      <c r="BN14" s="77">
        <v>-2E-3</v>
      </c>
      <c r="BO14" s="77">
        <v>0.26040000000000002</v>
      </c>
      <c r="BP14" s="77">
        <v>0.63319999999999999</v>
      </c>
      <c r="BQ14" s="77">
        <v>0.57520000000000004</v>
      </c>
      <c r="BR14" s="79"/>
    </row>
    <row r="15" spans="1:73" ht="15" x14ac:dyDescent="0.25">
      <c r="A15" s="74" t="s">
        <v>173</v>
      </c>
      <c r="B15" s="50" t="s">
        <v>87</v>
      </c>
      <c r="C15" s="75" t="s">
        <v>170</v>
      </c>
      <c r="D15" s="76"/>
      <c r="E15" s="77">
        <v>0.57520000000000004</v>
      </c>
      <c r="F15" s="77">
        <v>0.1104</v>
      </c>
      <c r="G15" s="77">
        <v>1816.8</v>
      </c>
      <c r="H15" s="77">
        <v>137.36000000000001</v>
      </c>
      <c r="I15" s="77">
        <v>955.6</v>
      </c>
      <c r="J15" s="77">
        <v>29.844000000000001</v>
      </c>
      <c r="K15" s="77">
        <v>5692</v>
      </c>
      <c r="L15" s="77">
        <v>1636800</v>
      </c>
      <c r="M15" s="77">
        <v>55.88</v>
      </c>
      <c r="N15" s="77">
        <v>604.79999999999995</v>
      </c>
      <c r="O15" s="77">
        <v>1.2612000000000001</v>
      </c>
      <c r="P15" s="77">
        <v>55.88</v>
      </c>
      <c r="Q15" s="77">
        <v>1.0104</v>
      </c>
      <c r="R15" s="77">
        <v>0.27560000000000001</v>
      </c>
      <c r="S15" s="77">
        <v>86.96</v>
      </c>
      <c r="T15" s="77">
        <v>1110.4000000000001</v>
      </c>
      <c r="U15" s="78">
        <v>1.7604</v>
      </c>
      <c r="V15" s="78">
        <v>3.2648000000000001</v>
      </c>
      <c r="W15" s="78">
        <v>151.52000000000001</v>
      </c>
      <c r="X15" s="78">
        <v>628.4</v>
      </c>
      <c r="Y15" s="77">
        <v>8.0799999999999997E-2</v>
      </c>
      <c r="Z15" s="77">
        <v>0.1348</v>
      </c>
      <c r="AA15" s="77">
        <v>0.78480000000000005</v>
      </c>
      <c r="AB15" s="77">
        <v>0.5756</v>
      </c>
      <c r="AC15" s="77">
        <v>3.7600000000000001E-2</v>
      </c>
      <c r="AD15" s="77">
        <v>37.328000000000003</v>
      </c>
      <c r="AE15" s="77">
        <v>2.5491999999999999</v>
      </c>
      <c r="AF15" s="77">
        <v>1.4239999999999999</v>
      </c>
      <c r="AG15" s="77">
        <v>0</v>
      </c>
      <c r="AH15" s="77">
        <v>0.55320000000000003</v>
      </c>
      <c r="AI15" s="77">
        <v>-4.0000000000000002E-4</v>
      </c>
      <c r="AJ15" s="77">
        <v>4.0000000000000002E-4</v>
      </c>
      <c r="AK15" s="77">
        <v>8.8800000000000004E-2</v>
      </c>
      <c r="AL15" s="77">
        <v>-4.8800000000000003E-2</v>
      </c>
      <c r="AM15" s="77">
        <v>4.0000000000000002E-4</v>
      </c>
      <c r="AN15" s="77">
        <v>8.8000000000000005E-3</v>
      </c>
      <c r="AO15" s="77">
        <v>7.6E-3</v>
      </c>
      <c r="AP15" s="77">
        <v>-2.3999999999999998E-3</v>
      </c>
      <c r="AQ15" s="77">
        <v>26.795999999999999</v>
      </c>
      <c r="AR15" s="77">
        <v>1.8640000000000001</v>
      </c>
      <c r="AS15" s="77">
        <v>3.7835999999999999</v>
      </c>
      <c r="AT15" s="77">
        <v>0.4768</v>
      </c>
      <c r="AU15" s="77">
        <v>1.978</v>
      </c>
      <c r="AV15" s="77">
        <v>0.4148</v>
      </c>
      <c r="AW15" s="77">
        <v>9.1600000000000001E-2</v>
      </c>
      <c r="AX15" s="77">
        <v>0.42480000000000001</v>
      </c>
      <c r="AY15" s="77">
        <v>6.3600000000000004E-2</v>
      </c>
      <c r="AZ15" s="77">
        <v>0.36559999999999998</v>
      </c>
      <c r="BA15" s="77">
        <v>7.0800000000000002E-2</v>
      </c>
      <c r="BB15" s="77">
        <v>0.19919999999999999</v>
      </c>
      <c r="BC15" s="77">
        <v>2.4E-2</v>
      </c>
      <c r="BD15" s="77">
        <v>0.13800000000000001</v>
      </c>
      <c r="BE15" s="77">
        <v>1.7999999999999999E-2</v>
      </c>
      <c r="BF15" s="77">
        <v>6.1600000000000002E-2</v>
      </c>
      <c r="BG15" s="77">
        <v>4.0000000000000002E-4</v>
      </c>
      <c r="BH15" s="77">
        <v>4.3999999999999997E-2</v>
      </c>
      <c r="BI15" s="77">
        <v>7.9200000000000007E-2</v>
      </c>
      <c r="BJ15" s="77">
        <v>-8.0000000000000004E-4</v>
      </c>
      <c r="BK15" s="77">
        <v>-1.1999999999999999E-3</v>
      </c>
      <c r="BL15" s="77">
        <v>4.4000000000000003E-3</v>
      </c>
      <c r="BM15" s="77">
        <v>0.1024</v>
      </c>
      <c r="BN15" s="77">
        <v>-4.4000000000000003E-3</v>
      </c>
      <c r="BO15" s="77">
        <v>0.23599999999999999</v>
      </c>
      <c r="BP15" s="77">
        <v>0.63239999999999996</v>
      </c>
      <c r="BQ15" s="77">
        <v>0.59160000000000001</v>
      </c>
      <c r="BR15" s="79"/>
    </row>
    <row r="16" spans="1:73" ht="15" x14ac:dyDescent="0.25">
      <c r="A16" s="74" t="s">
        <v>174</v>
      </c>
      <c r="B16" s="50" t="s">
        <v>88</v>
      </c>
      <c r="C16" s="75" t="s">
        <v>170</v>
      </c>
      <c r="D16" s="76"/>
      <c r="E16" s="77">
        <v>0.1368</v>
      </c>
      <c r="F16" s="77">
        <v>0</v>
      </c>
      <c r="G16" s="77">
        <v>76.8</v>
      </c>
      <c r="H16" s="77">
        <v>4.5</v>
      </c>
      <c r="I16" s="77">
        <v>117.08</v>
      </c>
      <c r="J16" s="77">
        <v>12.244</v>
      </c>
      <c r="K16" s="77">
        <v>1629.2</v>
      </c>
      <c r="L16" s="77">
        <v>9016000</v>
      </c>
      <c r="M16" s="77">
        <v>0.49399999999999999</v>
      </c>
      <c r="N16" s="77">
        <v>53.8</v>
      </c>
      <c r="O16" s="77">
        <v>0.31</v>
      </c>
      <c r="P16" s="77">
        <v>0.49399999999999999</v>
      </c>
      <c r="Q16" s="77">
        <v>1.1095999999999999</v>
      </c>
      <c r="R16" s="77">
        <v>3.7648000000000001</v>
      </c>
      <c r="S16" s="77">
        <v>4.2919999999999998</v>
      </c>
      <c r="T16" s="77">
        <v>2205.6</v>
      </c>
      <c r="U16" s="78">
        <v>0.28799999999999998</v>
      </c>
      <c r="V16" s="78">
        <v>2.0924</v>
      </c>
      <c r="W16" s="78">
        <v>9664</v>
      </c>
      <c r="X16" s="78">
        <v>681200</v>
      </c>
      <c r="Y16" s="77">
        <v>9.3600000000000003E-2</v>
      </c>
      <c r="Z16" s="77">
        <v>0.1636</v>
      </c>
      <c r="AA16" s="77">
        <v>1.2363999999999999</v>
      </c>
      <c r="AB16" s="77">
        <v>119.76</v>
      </c>
      <c r="AC16" s="77">
        <v>2.5999999999999999E-2</v>
      </c>
      <c r="AD16" s="77">
        <v>0.38319999999999999</v>
      </c>
      <c r="AE16" s="77">
        <v>3.2000000000000002E-3</v>
      </c>
      <c r="AF16" s="77">
        <v>0.21079999999999999</v>
      </c>
      <c r="AG16" s="77">
        <v>0</v>
      </c>
      <c r="AH16" s="77">
        <v>1.9563999999999999</v>
      </c>
      <c r="AI16" s="77">
        <v>2.12E-2</v>
      </c>
      <c r="AJ16" s="77">
        <v>6.0000000000000001E-3</v>
      </c>
      <c r="AK16" s="77">
        <v>7.6399999999999996E-2</v>
      </c>
      <c r="AL16" s="77">
        <v>3.3515999999999999</v>
      </c>
      <c r="AM16" s="77">
        <v>0.1096</v>
      </c>
      <c r="AN16" s="77">
        <v>7.1599999999999997E-2</v>
      </c>
      <c r="AO16" s="77">
        <v>-6.4000000000000003E-3</v>
      </c>
      <c r="AP16" s="77">
        <v>3.3599999999999998E-2</v>
      </c>
      <c r="AQ16" s="77">
        <v>2.4876</v>
      </c>
      <c r="AR16" s="77">
        <v>5.5999999999999999E-3</v>
      </c>
      <c r="AS16" s="77">
        <v>1.12E-2</v>
      </c>
      <c r="AT16" s="77">
        <v>4.0000000000000002E-4</v>
      </c>
      <c r="AU16" s="77">
        <v>2.8E-3</v>
      </c>
      <c r="AV16" s="77">
        <v>1.1999999999999999E-3</v>
      </c>
      <c r="AW16" s="77">
        <v>4.0000000000000002E-4</v>
      </c>
      <c r="AX16" s="77">
        <v>-1.6000000000000001E-3</v>
      </c>
      <c r="AY16" s="77">
        <v>0</v>
      </c>
      <c r="AZ16" s="77">
        <v>1.1999999999999999E-3</v>
      </c>
      <c r="BA16" s="77">
        <v>0</v>
      </c>
      <c r="BB16" s="77">
        <v>4.0000000000000002E-4</v>
      </c>
      <c r="BC16" s="77">
        <v>0</v>
      </c>
      <c r="BD16" s="77">
        <v>4.0000000000000002E-4</v>
      </c>
      <c r="BE16" s="77">
        <v>0</v>
      </c>
      <c r="BF16" s="77">
        <v>4.4000000000000003E-3</v>
      </c>
      <c r="BG16" s="77">
        <v>0</v>
      </c>
      <c r="BH16" s="77">
        <v>1.04E-2</v>
      </c>
      <c r="BI16" s="77">
        <v>0</v>
      </c>
      <c r="BJ16" s="77">
        <v>-1.1999999999999999E-3</v>
      </c>
      <c r="BK16" s="77">
        <v>-8.0000000000000004E-4</v>
      </c>
      <c r="BL16" s="77">
        <v>1.6000000000000001E-3</v>
      </c>
      <c r="BM16" s="77">
        <v>0.13</v>
      </c>
      <c r="BN16" s="77">
        <v>20.768000000000001</v>
      </c>
      <c r="BO16" s="77">
        <v>0.70760000000000001</v>
      </c>
      <c r="BP16" s="77">
        <v>8.2799999999999999E-2</v>
      </c>
      <c r="BQ16" s="77">
        <v>0.32840000000000003</v>
      </c>
      <c r="BR16" s="79"/>
    </row>
    <row r="17" spans="1:70" ht="15" x14ac:dyDescent="0.25">
      <c r="A17" s="74" t="s">
        <v>174</v>
      </c>
      <c r="B17" s="50" t="s">
        <v>88</v>
      </c>
      <c r="C17" s="75" t="s">
        <v>170</v>
      </c>
      <c r="D17" s="76"/>
      <c r="E17" s="77">
        <v>0.12640000000000001</v>
      </c>
      <c r="F17" s="77">
        <v>0</v>
      </c>
      <c r="G17" s="77">
        <v>73.28</v>
      </c>
      <c r="H17" s="77">
        <v>6.0919999999999996</v>
      </c>
      <c r="I17" s="77">
        <v>95.96</v>
      </c>
      <c r="J17" s="77">
        <v>58.32</v>
      </c>
      <c r="K17" s="77">
        <v>1594</v>
      </c>
      <c r="L17" s="77">
        <v>9028000</v>
      </c>
      <c r="M17" s="77">
        <v>0.18679999999999999</v>
      </c>
      <c r="N17" s="77">
        <v>56.44</v>
      </c>
      <c r="O17" s="77">
        <v>0.26719999999999999</v>
      </c>
      <c r="P17" s="77">
        <v>0.18679999999999999</v>
      </c>
      <c r="Q17" s="77">
        <v>1.1972</v>
      </c>
      <c r="R17" s="77">
        <v>4.68</v>
      </c>
      <c r="S17" s="77">
        <v>5.3559999999999999</v>
      </c>
      <c r="T17" s="77">
        <v>2213.1999999999998</v>
      </c>
      <c r="U17" s="78">
        <v>0.51600000000000001</v>
      </c>
      <c r="V17" s="78">
        <v>2.7235999999999998</v>
      </c>
      <c r="W17" s="78">
        <v>12832</v>
      </c>
      <c r="X17" s="78">
        <v>896000</v>
      </c>
      <c r="Y17" s="77">
        <v>9.1600000000000001E-2</v>
      </c>
      <c r="Z17" s="77">
        <v>0.13439999999999999</v>
      </c>
      <c r="AA17" s="77">
        <v>1.2656000000000001</v>
      </c>
      <c r="AB17" s="77">
        <v>153</v>
      </c>
      <c r="AC17" s="77">
        <v>2.8000000000000001E-2</v>
      </c>
      <c r="AD17" s="77">
        <v>0.51680000000000004</v>
      </c>
      <c r="AE17" s="77">
        <v>4.4000000000000003E-3</v>
      </c>
      <c r="AF17" s="77">
        <v>0.19919999999999999</v>
      </c>
      <c r="AG17" s="77">
        <v>0</v>
      </c>
      <c r="AH17" s="77">
        <v>2.4636</v>
      </c>
      <c r="AI17" s="77">
        <v>3.32E-2</v>
      </c>
      <c r="AJ17" s="77">
        <v>8.3999999999999995E-3</v>
      </c>
      <c r="AK17" s="77">
        <v>6.2399999999999997E-2</v>
      </c>
      <c r="AL17" s="77">
        <v>5.2759999999999998</v>
      </c>
      <c r="AM17" s="77">
        <v>9.8000000000000004E-2</v>
      </c>
      <c r="AN17" s="77">
        <v>7.8399999999999997E-2</v>
      </c>
      <c r="AO17" s="77">
        <v>-1.9199999999999998E-2</v>
      </c>
      <c r="AP17" s="77">
        <v>4.7999999999999996E-3</v>
      </c>
      <c r="AQ17" s="77">
        <v>2.5127999999999999</v>
      </c>
      <c r="AR17" s="77">
        <v>6.7999999999999996E-3</v>
      </c>
      <c r="AS17" s="77">
        <v>1.24E-2</v>
      </c>
      <c r="AT17" s="77">
        <v>1.1999999999999999E-3</v>
      </c>
      <c r="AU17" s="77">
        <v>4.7999999999999996E-3</v>
      </c>
      <c r="AV17" s="77">
        <v>1.1999999999999999E-3</v>
      </c>
      <c r="AW17" s="77">
        <v>4.0000000000000002E-4</v>
      </c>
      <c r="AX17" s="77">
        <v>-3.2000000000000002E-3</v>
      </c>
      <c r="AY17" s="77">
        <v>4.0000000000000002E-4</v>
      </c>
      <c r="AZ17" s="77">
        <v>1.1999999999999999E-3</v>
      </c>
      <c r="BA17" s="77">
        <v>4.0000000000000002E-4</v>
      </c>
      <c r="BB17" s="77">
        <v>8.0000000000000004E-4</v>
      </c>
      <c r="BC17" s="77">
        <v>0</v>
      </c>
      <c r="BD17" s="77">
        <v>4.0000000000000002E-4</v>
      </c>
      <c r="BE17" s="77">
        <v>0</v>
      </c>
      <c r="BF17" s="77">
        <v>3.2000000000000002E-3</v>
      </c>
      <c r="BG17" s="77">
        <v>0</v>
      </c>
      <c r="BH17" s="77">
        <v>2.1999999999999999E-2</v>
      </c>
      <c r="BI17" s="77">
        <v>1.6799999999999999E-2</v>
      </c>
      <c r="BJ17" s="77">
        <v>0</v>
      </c>
      <c r="BK17" s="77">
        <v>8.8000000000000005E-3</v>
      </c>
      <c r="BL17" s="77">
        <v>1.1999999999999999E-3</v>
      </c>
      <c r="BM17" s="77">
        <v>0.1176</v>
      </c>
      <c r="BN17" s="77">
        <v>30.007999999999999</v>
      </c>
      <c r="BO17" s="77">
        <v>0.94799999999999995</v>
      </c>
      <c r="BP17" s="77">
        <v>7.2800000000000004E-2</v>
      </c>
      <c r="BQ17" s="77">
        <v>0.39360000000000001</v>
      </c>
      <c r="BR17" s="79"/>
    </row>
    <row r="18" spans="1:70" ht="15" x14ac:dyDescent="0.25">
      <c r="A18" s="74" t="s">
        <v>174</v>
      </c>
      <c r="B18" s="50" t="s">
        <v>88</v>
      </c>
      <c r="C18" s="75" t="s">
        <v>170</v>
      </c>
      <c r="D18" s="76"/>
      <c r="E18" s="77">
        <v>0.1148</v>
      </c>
      <c r="F18" s="77">
        <v>0</v>
      </c>
      <c r="G18" s="77">
        <v>73.599999999999994</v>
      </c>
      <c r="H18" s="71">
        <v>5.2279999999999998</v>
      </c>
      <c r="I18" s="71">
        <v>66.8</v>
      </c>
      <c r="J18" s="71">
        <v>11.124000000000001</v>
      </c>
      <c r="K18" s="77">
        <v>1574.8</v>
      </c>
      <c r="L18" s="77">
        <v>9172000</v>
      </c>
      <c r="M18" s="77">
        <v>0.21199999999999999</v>
      </c>
      <c r="N18" s="77">
        <v>53.12</v>
      </c>
      <c r="O18" s="77">
        <v>0.12559999999999999</v>
      </c>
      <c r="P18" s="77">
        <v>0.21199999999999999</v>
      </c>
      <c r="Q18" s="77">
        <v>0.82840000000000003</v>
      </c>
      <c r="R18" s="77">
        <v>3.6219999999999999</v>
      </c>
      <c r="S18" s="77">
        <v>4.5</v>
      </c>
      <c r="T18" s="77">
        <v>2239.6</v>
      </c>
      <c r="U18" s="78">
        <v>0.37480000000000002</v>
      </c>
      <c r="V18" s="78">
        <v>2.0451999999999999</v>
      </c>
      <c r="W18" s="78">
        <v>9348</v>
      </c>
      <c r="X18" s="78">
        <v>675200</v>
      </c>
      <c r="Y18" s="77">
        <v>8.5599999999999996E-2</v>
      </c>
      <c r="Z18" s="77">
        <v>0.14319999999999999</v>
      </c>
      <c r="AA18" s="77">
        <v>1.2524</v>
      </c>
      <c r="AB18" s="77">
        <v>107.64</v>
      </c>
      <c r="AC18" s="77">
        <v>2.4799999999999999E-2</v>
      </c>
      <c r="AD18" s="77">
        <v>0.25280000000000002</v>
      </c>
      <c r="AE18" s="77">
        <v>6.0000000000000001E-3</v>
      </c>
      <c r="AF18" s="77">
        <v>0.1464</v>
      </c>
      <c r="AG18" s="77">
        <v>0</v>
      </c>
      <c r="AH18" s="77">
        <v>2.6360000000000001</v>
      </c>
      <c r="AI18" s="77">
        <v>5.4800000000000001E-2</v>
      </c>
      <c r="AJ18" s="77">
        <v>1.24E-2</v>
      </c>
      <c r="AK18" s="77">
        <v>5.5599999999999997E-2</v>
      </c>
      <c r="AL18" s="77">
        <v>3.6827999999999999</v>
      </c>
      <c r="AM18" s="77">
        <v>7.0000000000000007E-2</v>
      </c>
      <c r="AN18" s="77">
        <v>0.13400000000000001</v>
      </c>
      <c r="AO18" s="77">
        <v>-1.9199999999999998E-2</v>
      </c>
      <c r="AP18" s="77">
        <v>1.32E-2</v>
      </c>
      <c r="AQ18" s="77">
        <v>2.5739999999999998</v>
      </c>
      <c r="AR18" s="77">
        <v>6.0000000000000001E-3</v>
      </c>
      <c r="AS18" s="77">
        <v>1.24E-2</v>
      </c>
      <c r="AT18" s="77">
        <v>8.0000000000000004E-4</v>
      </c>
      <c r="AU18" s="77">
        <v>2.8E-3</v>
      </c>
      <c r="AV18" s="77">
        <v>8.0000000000000004E-4</v>
      </c>
      <c r="AW18" s="77">
        <v>4.0000000000000002E-4</v>
      </c>
      <c r="AX18" s="77">
        <v>-1.1999999999999999E-3</v>
      </c>
      <c r="AY18" s="77">
        <v>0</v>
      </c>
      <c r="AZ18" s="77">
        <v>1.1999999999999999E-3</v>
      </c>
      <c r="BA18" s="77">
        <v>4.0000000000000002E-4</v>
      </c>
      <c r="BB18" s="77">
        <v>4.0000000000000002E-4</v>
      </c>
      <c r="BC18" s="77">
        <v>0</v>
      </c>
      <c r="BD18" s="77">
        <v>8.0000000000000004E-4</v>
      </c>
      <c r="BE18" s="77">
        <v>4.0000000000000002E-4</v>
      </c>
      <c r="BF18" s="77">
        <v>3.2000000000000002E-3</v>
      </c>
      <c r="BG18" s="77">
        <v>0</v>
      </c>
      <c r="BH18" s="77">
        <v>-1.4E-2</v>
      </c>
      <c r="BI18" s="77">
        <v>6.4000000000000003E-3</v>
      </c>
      <c r="BJ18" s="77">
        <v>1.5599999999999999E-2</v>
      </c>
      <c r="BK18" s="77">
        <v>-1.1999999999999999E-3</v>
      </c>
      <c r="BL18" s="77">
        <v>2.3999999999999998E-3</v>
      </c>
      <c r="BM18" s="77">
        <v>0.1168</v>
      </c>
      <c r="BN18" s="77">
        <v>22.352</v>
      </c>
      <c r="BO18" s="77">
        <v>0.62680000000000002</v>
      </c>
      <c r="BP18" s="77">
        <v>6.7599999999999993E-2</v>
      </c>
      <c r="BQ18" s="77">
        <v>0.41239999999999999</v>
      </c>
      <c r="BR18" s="79"/>
    </row>
    <row r="19" spans="1:70" ht="15" x14ac:dyDescent="0.25">
      <c r="A19" s="74" t="s">
        <v>175</v>
      </c>
      <c r="B19" s="50" t="s">
        <v>89</v>
      </c>
      <c r="C19" s="75" t="s">
        <v>170</v>
      </c>
      <c r="D19" s="76"/>
      <c r="E19" s="71">
        <v>8.5800000000000001E-2</v>
      </c>
      <c r="F19" s="71">
        <v>0</v>
      </c>
      <c r="G19" s="71">
        <v>83.97</v>
      </c>
      <c r="H19" s="71">
        <v>6.6689999999999996</v>
      </c>
      <c r="I19" s="71">
        <v>70.05</v>
      </c>
      <c r="J19" s="71">
        <v>33.72</v>
      </c>
      <c r="K19" s="71">
        <v>314.10000000000002</v>
      </c>
      <c r="L19" s="71">
        <v>3951000</v>
      </c>
      <c r="M19" s="71">
        <v>0.1842</v>
      </c>
      <c r="N19" s="71">
        <v>65.31</v>
      </c>
      <c r="O19" s="71">
        <v>-3.5700000000000003E-2</v>
      </c>
      <c r="P19" s="71">
        <v>0.1842</v>
      </c>
      <c r="Q19" s="71">
        <v>0.75929999999999997</v>
      </c>
      <c r="R19" s="71">
        <v>0.49469999999999997</v>
      </c>
      <c r="S19" s="71">
        <v>0.5454</v>
      </c>
      <c r="T19" s="71">
        <v>170.07</v>
      </c>
      <c r="U19" s="71">
        <v>4.7100000000000003E-2</v>
      </c>
      <c r="V19" s="71">
        <v>11.933999999999999</v>
      </c>
      <c r="W19" s="71">
        <v>-4.9619999999999997</v>
      </c>
      <c r="X19" s="71">
        <v>1109.0999999999999</v>
      </c>
      <c r="Y19" s="71">
        <v>1.29E-2</v>
      </c>
      <c r="Z19" s="71">
        <v>8.6999999999999994E-3</v>
      </c>
      <c r="AA19" s="71">
        <v>0.81330000000000002</v>
      </c>
      <c r="AB19" s="71">
        <v>7.9619999999999997</v>
      </c>
      <c r="AC19" s="71">
        <v>7.1999999999999998E-3</v>
      </c>
      <c r="AD19" s="71">
        <v>0.47010000000000002</v>
      </c>
      <c r="AE19" s="71">
        <v>-5.9999999999999995E-4</v>
      </c>
      <c r="AF19" s="71">
        <v>6.0000000000000001E-3</v>
      </c>
      <c r="AG19" s="71">
        <v>0</v>
      </c>
      <c r="AH19" s="71">
        <v>4.5600000000000002E-2</v>
      </c>
      <c r="AI19" s="71">
        <v>0</v>
      </c>
      <c r="AJ19" s="71">
        <v>2.7000000000000001E-3</v>
      </c>
      <c r="AK19" s="71">
        <v>6.0000000000000001E-3</v>
      </c>
      <c r="AL19" s="71">
        <v>24.446999999999999</v>
      </c>
      <c r="AM19" s="71">
        <v>0.19739999999999999</v>
      </c>
      <c r="AN19" s="71">
        <v>0.94769999999999999</v>
      </c>
      <c r="AO19" s="71">
        <v>0.1389</v>
      </c>
      <c r="AP19" s="71">
        <v>-2.0999999999999999E-3</v>
      </c>
      <c r="AQ19" s="71">
        <v>2.0966999999999998</v>
      </c>
      <c r="AR19" s="71">
        <v>-2.9999999999999997E-4</v>
      </c>
      <c r="AS19" s="71">
        <v>-2.9999999999999997E-4</v>
      </c>
      <c r="AT19" s="71">
        <v>0</v>
      </c>
      <c r="AU19" s="71">
        <v>0</v>
      </c>
      <c r="AV19" s="71">
        <v>-5.9999999999999995E-4</v>
      </c>
      <c r="AW19" s="71">
        <v>0</v>
      </c>
      <c r="AX19" s="71">
        <v>-2.7000000000000001E-3</v>
      </c>
      <c r="AY19" s="71">
        <v>0</v>
      </c>
      <c r="AZ19" s="71">
        <v>-2.9999999999999997E-4</v>
      </c>
      <c r="BA19" s="77">
        <v>0</v>
      </c>
      <c r="BB19" s="77">
        <v>-2.9999999999999997E-4</v>
      </c>
      <c r="BC19" s="77">
        <v>0</v>
      </c>
      <c r="BD19" s="77">
        <v>-2.9999999999999997E-4</v>
      </c>
      <c r="BE19" s="77">
        <v>0</v>
      </c>
      <c r="BF19" s="77">
        <v>-2.9999999999999997E-4</v>
      </c>
      <c r="BG19" s="77">
        <v>0</v>
      </c>
      <c r="BH19" s="77">
        <v>2.52E-2</v>
      </c>
      <c r="BI19" s="77">
        <v>-5.9999999999999995E-4</v>
      </c>
      <c r="BJ19" s="77">
        <v>-5.9999999999999995E-4</v>
      </c>
      <c r="BK19" s="77">
        <v>5.7000000000000002E-3</v>
      </c>
      <c r="BL19" s="77">
        <v>-2.9999999999999997E-4</v>
      </c>
      <c r="BM19" s="77">
        <v>5.7000000000000002E-3</v>
      </c>
      <c r="BN19" s="77">
        <v>0.25950000000000001</v>
      </c>
      <c r="BO19" s="77">
        <v>120.66</v>
      </c>
      <c r="BP19" s="77">
        <v>-2.8799999999999999E-2</v>
      </c>
      <c r="BQ19" s="77">
        <v>-2.3999999999999998E-3</v>
      </c>
      <c r="BR19" s="79"/>
    </row>
    <row r="20" spans="1:70" ht="15" x14ac:dyDescent="0.25">
      <c r="A20" s="74" t="s">
        <v>175</v>
      </c>
      <c r="B20" s="50" t="s">
        <v>89</v>
      </c>
      <c r="C20" s="75" t="s">
        <v>170</v>
      </c>
      <c r="D20" s="76"/>
      <c r="E20" s="71">
        <v>0.1053</v>
      </c>
      <c r="F20" s="71">
        <v>0</v>
      </c>
      <c r="G20" s="71">
        <v>87.27</v>
      </c>
      <c r="H20" s="71">
        <v>6.8220000000000001</v>
      </c>
      <c r="I20" s="71">
        <v>62.55</v>
      </c>
      <c r="J20" s="71">
        <v>35.520000000000003</v>
      </c>
      <c r="K20" s="71">
        <v>315.3</v>
      </c>
      <c r="L20" s="71">
        <v>4203000</v>
      </c>
      <c r="M20" s="71">
        <v>0.15</v>
      </c>
      <c r="N20" s="71">
        <v>69.63</v>
      </c>
      <c r="O20" s="71">
        <v>-3.6299999999999999E-2</v>
      </c>
      <c r="P20" s="71">
        <v>0.15</v>
      </c>
      <c r="Q20" s="71">
        <v>0.8337</v>
      </c>
      <c r="R20" s="71">
        <v>0.49740000000000001</v>
      </c>
      <c r="S20" s="71">
        <v>0.85770000000000002</v>
      </c>
      <c r="T20" s="71">
        <v>156.36000000000001</v>
      </c>
      <c r="U20" s="71">
        <v>3.2399999999999998E-2</v>
      </c>
      <c r="V20" s="71">
        <v>12.195</v>
      </c>
      <c r="W20" s="71">
        <v>-4.9619999999999997</v>
      </c>
      <c r="X20" s="71">
        <v>514.79999999999995</v>
      </c>
      <c r="Y20" s="71">
        <v>1.6799999999999999E-2</v>
      </c>
      <c r="Z20" s="71">
        <v>1.0500000000000001E-2</v>
      </c>
      <c r="AA20" s="71">
        <v>0.86909999999999998</v>
      </c>
      <c r="AB20" s="71">
        <v>0.70169999999999999</v>
      </c>
      <c r="AC20" s="71">
        <v>5.7000000000000002E-3</v>
      </c>
      <c r="AD20" s="71">
        <v>0.4521</v>
      </c>
      <c r="AE20" s="71">
        <v>-8.9999999999999998E-4</v>
      </c>
      <c r="AF20" s="71">
        <v>2.76E-2</v>
      </c>
      <c r="AG20" s="71">
        <v>0</v>
      </c>
      <c r="AH20" s="71">
        <v>3.27E-2</v>
      </c>
      <c r="AI20" s="71">
        <v>0</v>
      </c>
      <c r="AJ20" s="71">
        <v>2.3999999999999998E-3</v>
      </c>
      <c r="AK20" s="71">
        <v>2.7000000000000001E-3</v>
      </c>
      <c r="AL20" s="71">
        <v>27.164999999999999</v>
      </c>
      <c r="AM20" s="71">
        <v>0.19139999999999999</v>
      </c>
      <c r="AN20" s="71">
        <v>1.1681999999999999</v>
      </c>
      <c r="AO20" s="71">
        <v>1.5206999999999999</v>
      </c>
      <c r="AP20" s="71">
        <v>1.17E-2</v>
      </c>
      <c r="AQ20" s="71">
        <v>2.2949999999999999</v>
      </c>
      <c r="AR20" s="71">
        <v>-2.9999999999999997E-4</v>
      </c>
      <c r="AS20" s="71">
        <v>-2.9999999999999997E-4</v>
      </c>
      <c r="AT20" s="71">
        <v>0</v>
      </c>
      <c r="AU20" s="71">
        <v>0</v>
      </c>
      <c r="AV20" s="71">
        <v>-5.9999999999999995E-4</v>
      </c>
      <c r="AW20" s="71">
        <v>0</v>
      </c>
      <c r="AX20" s="71">
        <v>-2.7000000000000001E-3</v>
      </c>
      <c r="AY20" s="71">
        <v>0</v>
      </c>
      <c r="AZ20" s="71">
        <v>-2.9999999999999997E-4</v>
      </c>
      <c r="BA20" s="77">
        <v>0</v>
      </c>
      <c r="BB20" s="77">
        <v>0</v>
      </c>
      <c r="BC20" s="77">
        <v>0</v>
      </c>
      <c r="BD20" s="77">
        <v>-2.9999999999999997E-4</v>
      </c>
      <c r="BE20" s="77">
        <v>0</v>
      </c>
      <c r="BF20" s="77">
        <v>-2.9999999999999997E-4</v>
      </c>
      <c r="BG20" s="77">
        <v>0</v>
      </c>
      <c r="BH20" s="77">
        <v>-1.1999999999999999E-3</v>
      </c>
      <c r="BI20" s="77">
        <v>9.5999999999999992E-3</v>
      </c>
      <c r="BJ20" s="77">
        <v>2.9999999999999997E-4</v>
      </c>
      <c r="BK20" s="77">
        <v>5.7000000000000002E-3</v>
      </c>
      <c r="BL20" s="77">
        <v>-2.9999999999999997E-4</v>
      </c>
      <c r="BM20" s="77">
        <v>2.0999999999999999E-3</v>
      </c>
      <c r="BN20" s="77">
        <v>0.20219999999999999</v>
      </c>
      <c r="BO20" s="77">
        <v>128.66999999999999</v>
      </c>
      <c r="BP20" s="77">
        <v>-2.8799999999999999E-2</v>
      </c>
      <c r="BQ20" s="77">
        <v>-2.3999999999999998E-3</v>
      </c>
      <c r="BR20" s="79"/>
    </row>
    <row r="21" spans="1:70" ht="15" x14ac:dyDescent="0.25">
      <c r="A21" s="74" t="s">
        <v>175</v>
      </c>
      <c r="B21" s="50" t="s">
        <v>89</v>
      </c>
      <c r="C21" s="75" t="s">
        <v>170</v>
      </c>
      <c r="D21" s="76"/>
      <c r="E21" s="71">
        <v>8.8499999999999995E-2</v>
      </c>
      <c r="F21" s="71">
        <v>0</v>
      </c>
      <c r="G21" s="71">
        <v>90.75</v>
      </c>
      <c r="H21" s="71">
        <v>5.835</v>
      </c>
      <c r="I21" s="71">
        <v>76.260000000000005</v>
      </c>
      <c r="J21" s="71">
        <v>5.0819999999999999</v>
      </c>
      <c r="K21" s="71">
        <v>315.60000000000002</v>
      </c>
      <c r="L21" s="71">
        <v>4350000</v>
      </c>
      <c r="M21" s="71">
        <v>0.1242</v>
      </c>
      <c r="N21" s="71">
        <v>73.319999999999993</v>
      </c>
      <c r="O21" s="71">
        <v>-3.6600000000000001E-2</v>
      </c>
      <c r="P21" s="71">
        <v>0.1242</v>
      </c>
      <c r="Q21" s="71">
        <v>0.79110000000000003</v>
      </c>
      <c r="R21" s="71">
        <v>0.56940000000000002</v>
      </c>
      <c r="S21" s="71">
        <v>0.54420000000000002</v>
      </c>
      <c r="T21" s="71">
        <v>159</v>
      </c>
      <c r="U21" s="71">
        <v>3.2099999999999997E-2</v>
      </c>
      <c r="V21" s="71">
        <v>11.885999999999999</v>
      </c>
      <c r="W21" s="71">
        <v>442800</v>
      </c>
      <c r="X21" s="71">
        <v>492.9</v>
      </c>
      <c r="Y21" s="71">
        <v>1.38E-2</v>
      </c>
      <c r="Z21" s="71">
        <v>7.1999999999999998E-3</v>
      </c>
      <c r="AA21" s="71">
        <v>0.90449999999999997</v>
      </c>
      <c r="AB21" s="71">
        <v>0.78510000000000002</v>
      </c>
      <c r="AC21" s="71">
        <v>7.7999999999999996E-3</v>
      </c>
      <c r="AD21" s="71">
        <v>0.51359999999999995</v>
      </c>
      <c r="AE21" s="71">
        <v>-8.9999999999999998E-4</v>
      </c>
      <c r="AF21" s="71">
        <v>6.6E-3</v>
      </c>
      <c r="AG21" s="71">
        <v>0</v>
      </c>
      <c r="AH21" s="71">
        <v>7.6499999999999999E-2</v>
      </c>
      <c r="AI21" s="71">
        <v>0</v>
      </c>
      <c r="AJ21" s="71">
        <v>2.0999999999999999E-3</v>
      </c>
      <c r="AK21" s="71">
        <v>1.1999999999999999E-3</v>
      </c>
      <c r="AL21" s="71">
        <v>25.224</v>
      </c>
      <c r="AM21" s="71">
        <v>0.22020000000000001</v>
      </c>
      <c r="AN21" s="71">
        <v>1.3655999999999999</v>
      </c>
      <c r="AO21" s="71">
        <v>0.1278</v>
      </c>
      <c r="AP21" s="71">
        <v>1.0500000000000001E-2</v>
      </c>
      <c r="AQ21" s="71">
        <v>2.4792000000000001</v>
      </c>
      <c r="AR21" s="71">
        <v>-2.9999999999999997E-4</v>
      </c>
      <c r="AS21" s="71">
        <v>-2.9999999999999997E-4</v>
      </c>
      <c r="AT21" s="71">
        <v>-2.9999999999999997E-4</v>
      </c>
      <c r="AU21" s="71">
        <v>-2.9999999999999997E-4</v>
      </c>
      <c r="AV21" s="71">
        <v>-5.9999999999999995E-4</v>
      </c>
      <c r="AW21" s="71">
        <v>0</v>
      </c>
      <c r="AX21" s="71">
        <v>-2.7000000000000001E-3</v>
      </c>
      <c r="AY21" s="71">
        <v>0</v>
      </c>
      <c r="AZ21" s="71">
        <v>-2.9999999999999997E-4</v>
      </c>
      <c r="BA21" s="77">
        <v>0</v>
      </c>
      <c r="BB21" s="77">
        <v>0</v>
      </c>
      <c r="BC21" s="77">
        <v>0</v>
      </c>
      <c r="BD21" s="77">
        <v>-2.9999999999999997E-4</v>
      </c>
      <c r="BE21" s="77">
        <v>0</v>
      </c>
      <c r="BF21" s="77">
        <v>1.32E-2</v>
      </c>
      <c r="BG21" s="77">
        <v>0</v>
      </c>
      <c r="BH21" s="77">
        <v>4.5600000000000002E-2</v>
      </c>
      <c r="BI21" s="77">
        <v>9.5999999999999992E-3</v>
      </c>
      <c r="BJ21" s="77">
        <v>0</v>
      </c>
      <c r="BK21" s="77">
        <v>0</v>
      </c>
      <c r="BL21" s="77">
        <v>-2.9999999999999997E-4</v>
      </c>
      <c r="BM21" s="77">
        <v>8.9999999999999998E-4</v>
      </c>
      <c r="BN21" s="77">
        <v>0.12690000000000001</v>
      </c>
      <c r="BO21" s="77">
        <v>89.64</v>
      </c>
      <c r="BP21" s="77">
        <v>-2.8799999999999999E-2</v>
      </c>
      <c r="BQ21" s="77">
        <v>-2.3999999999999998E-3</v>
      </c>
      <c r="BR21" s="79"/>
    </row>
    <row r="22" spans="1:70" ht="15" x14ac:dyDescent="0.25">
      <c r="A22" s="74" t="s">
        <v>176</v>
      </c>
      <c r="B22" s="50" t="s">
        <v>90</v>
      </c>
      <c r="C22" s="75" t="s">
        <v>170</v>
      </c>
      <c r="D22" s="76"/>
      <c r="E22" s="71">
        <v>0.44519999999999998</v>
      </c>
      <c r="F22" s="71">
        <v>0</v>
      </c>
      <c r="G22" s="71">
        <v>275.24</v>
      </c>
      <c r="H22" s="71">
        <v>4.6284000000000001</v>
      </c>
      <c r="I22" s="71">
        <v>42154</v>
      </c>
      <c r="J22" s="71">
        <v>1.6772</v>
      </c>
      <c r="K22" s="71">
        <v>633.5</v>
      </c>
      <c r="L22" s="71">
        <v>4167800</v>
      </c>
      <c r="M22" s="71">
        <v>2.8237999999999999</v>
      </c>
      <c r="N22" s="71">
        <v>322.27999999999997</v>
      </c>
      <c r="O22" s="71">
        <v>-4.7600000000000003E-2</v>
      </c>
      <c r="P22" s="71">
        <v>2.8237999999999999</v>
      </c>
      <c r="Q22" s="71">
        <v>5.7721999999999998</v>
      </c>
      <c r="R22" s="71">
        <v>1.1494</v>
      </c>
      <c r="S22" s="71">
        <v>3.7477999999999998</v>
      </c>
      <c r="T22" s="71">
        <v>6076</v>
      </c>
      <c r="U22" s="71">
        <v>8.8200000000000001E-2</v>
      </c>
      <c r="V22" s="71">
        <v>2.1377999999999999</v>
      </c>
      <c r="W22" s="71">
        <v>158.06</v>
      </c>
      <c r="X22" s="71">
        <v>113.008</v>
      </c>
      <c r="Y22" s="71">
        <v>56.966000000000001</v>
      </c>
      <c r="Z22" s="71">
        <v>0.3276</v>
      </c>
      <c r="AA22" s="71">
        <v>0.4914</v>
      </c>
      <c r="AB22" s="71">
        <v>-0.35560000000000003</v>
      </c>
      <c r="AC22" s="71">
        <v>1.6799999999999999E-2</v>
      </c>
      <c r="AD22" s="71">
        <v>0.161</v>
      </c>
      <c r="AE22" s="71">
        <v>4.3400000000000001E-2</v>
      </c>
      <c r="AF22" s="71">
        <v>0.37519999999999998</v>
      </c>
      <c r="AG22" s="71">
        <v>0</v>
      </c>
      <c r="AH22" s="71">
        <v>0.1666</v>
      </c>
      <c r="AI22" s="71">
        <v>-1.4E-3</v>
      </c>
      <c r="AJ22" s="71">
        <v>2.8E-3</v>
      </c>
      <c r="AK22" s="71">
        <v>-1.4E-2</v>
      </c>
      <c r="AL22" s="71">
        <v>-0.6482</v>
      </c>
      <c r="AM22" s="71">
        <v>-1.4E-2</v>
      </c>
      <c r="AN22" s="71">
        <v>1.8200000000000001E-2</v>
      </c>
      <c r="AO22" s="71">
        <v>-2.9399999999999999E-2</v>
      </c>
      <c r="AP22" s="71">
        <v>-2.52E-2</v>
      </c>
      <c r="AQ22" s="71">
        <v>20.65</v>
      </c>
      <c r="AR22" s="71">
        <v>0.53059999999999996</v>
      </c>
      <c r="AS22" s="71">
        <v>0.497</v>
      </c>
      <c r="AT22" s="71">
        <v>1.26E-2</v>
      </c>
      <c r="AU22" s="71">
        <v>4.2000000000000003E-2</v>
      </c>
      <c r="AV22" s="71">
        <v>8.3999999999999995E-3</v>
      </c>
      <c r="AW22" s="71">
        <v>1.4E-3</v>
      </c>
      <c r="AX22" s="71">
        <v>-7.0000000000000001E-3</v>
      </c>
      <c r="AY22" s="71">
        <v>0</v>
      </c>
      <c r="AZ22" s="71">
        <v>1.4E-3</v>
      </c>
      <c r="BA22" s="77">
        <v>1.4E-3</v>
      </c>
      <c r="BB22" s="77">
        <v>2.8E-3</v>
      </c>
      <c r="BC22" s="77">
        <v>0</v>
      </c>
      <c r="BD22" s="77">
        <v>2.8E-3</v>
      </c>
      <c r="BE22" s="77">
        <v>0</v>
      </c>
      <c r="BF22" s="77">
        <v>8.3999999999999995E-3</v>
      </c>
      <c r="BG22" s="77">
        <v>-1.4E-3</v>
      </c>
      <c r="BH22" s="77">
        <v>-0.1288</v>
      </c>
      <c r="BI22" s="77">
        <v>-1.4E-3</v>
      </c>
      <c r="BJ22" s="77">
        <v>-2.8E-3</v>
      </c>
      <c r="BK22" s="77">
        <v>-4.1999999999999997E-3</v>
      </c>
      <c r="BL22" s="77">
        <v>1.4E-3</v>
      </c>
      <c r="BM22" s="77">
        <v>9.7999999999999997E-3</v>
      </c>
      <c r="BN22" s="77">
        <v>-1.26E-2</v>
      </c>
      <c r="BO22" s="77">
        <v>0.1764</v>
      </c>
      <c r="BP22" s="77">
        <v>-8.9599999999999999E-2</v>
      </c>
      <c r="BQ22" s="77">
        <v>0.11899999999999999</v>
      </c>
      <c r="BR22" s="79"/>
    </row>
    <row r="23" spans="1:70" ht="15" x14ac:dyDescent="0.25">
      <c r="A23" s="74" t="s">
        <v>176</v>
      </c>
      <c r="B23" s="50" t="s">
        <v>90</v>
      </c>
      <c r="C23" s="75" t="s">
        <v>170</v>
      </c>
      <c r="D23" s="76"/>
      <c r="E23" s="71">
        <v>0.50960000000000005</v>
      </c>
      <c r="F23" s="71">
        <v>0</v>
      </c>
      <c r="G23" s="71">
        <v>282.52</v>
      </c>
      <c r="H23" s="71">
        <v>4.2573999999999996</v>
      </c>
      <c r="I23" s="71">
        <v>43302</v>
      </c>
      <c r="J23" s="71">
        <v>2.6781999999999999</v>
      </c>
      <c r="K23" s="71">
        <v>463.4</v>
      </c>
      <c r="L23" s="71">
        <v>4527600</v>
      </c>
      <c r="M23" s="71">
        <v>3.0044</v>
      </c>
      <c r="N23" s="71">
        <v>322.56</v>
      </c>
      <c r="O23" s="71">
        <v>-3.5000000000000003E-2</v>
      </c>
      <c r="P23" s="71">
        <v>3.0044</v>
      </c>
      <c r="Q23" s="71">
        <v>5.9401999999999999</v>
      </c>
      <c r="R23" s="71">
        <v>1.1521999999999999</v>
      </c>
      <c r="S23" s="71">
        <v>3.9045999999999998</v>
      </c>
      <c r="T23" s="71">
        <v>6377</v>
      </c>
      <c r="U23" s="71">
        <v>9.6600000000000005E-2</v>
      </c>
      <c r="V23" s="71">
        <v>2.1657999999999999</v>
      </c>
      <c r="W23" s="71">
        <v>53.326000000000001</v>
      </c>
      <c r="X23" s="71">
        <v>101.15</v>
      </c>
      <c r="Y23" s="71">
        <v>56.28</v>
      </c>
      <c r="Z23" s="71">
        <v>0.41860000000000003</v>
      </c>
      <c r="AA23" s="71">
        <v>0.94640000000000002</v>
      </c>
      <c r="AB23" s="71">
        <v>-0.2772</v>
      </c>
      <c r="AC23" s="71">
        <v>3.78E-2</v>
      </c>
      <c r="AD23" s="71">
        <v>0.15820000000000001</v>
      </c>
      <c r="AE23" s="71">
        <v>5.6000000000000001E-2</v>
      </c>
      <c r="AF23" s="71">
        <v>0.42280000000000001</v>
      </c>
      <c r="AG23" s="71">
        <v>0</v>
      </c>
      <c r="AH23" s="71">
        <v>0.2198</v>
      </c>
      <c r="AI23" s="71">
        <v>-1.4E-3</v>
      </c>
      <c r="AJ23" s="71">
        <v>1.4E-3</v>
      </c>
      <c r="AK23" s="71">
        <v>5.5999999999999999E-3</v>
      </c>
      <c r="AL23" s="71">
        <v>-0.74060000000000004</v>
      </c>
      <c r="AM23" s="71">
        <v>-1.26E-2</v>
      </c>
      <c r="AN23" s="71">
        <v>1.54E-2</v>
      </c>
      <c r="AO23" s="71">
        <v>-6.7199999999999996E-2</v>
      </c>
      <c r="AP23" s="71">
        <v>-2.52E-2</v>
      </c>
      <c r="AQ23" s="71">
        <v>20.986000000000001</v>
      </c>
      <c r="AR23" s="71">
        <v>0.84699999999999998</v>
      </c>
      <c r="AS23" s="71">
        <v>0.76439999999999997</v>
      </c>
      <c r="AT23" s="71">
        <v>1.26E-2</v>
      </c>
      <c r="AU23" s="71">
        <v>7.2800000000000004E-2</v>
      </c>
      <c r="AV23" s="71">
        <v>5.5999999999999999E-3</v>
      </c>
      <c r="AW23" s="71">
        <v>2.8E-3</v>
      </c>
      <c r="AX23" s="71">
        <v>-2.8E-3</v>
      </c>
      <c r="AY23" s="71">
        <v>1.4E-3</v>
      </c>
      <c r="AZ23" s="71">
        <v>1.4E-2</v>
      </c>
      <c r="BA23" s="77">
        <v>1.4E-3</v>
      </c>
      <c r="BB23" s="77">
        <v>4.1999999999999997E-3</v>
      </c>
      <c r="BC23" s="77">
        <v>1.4E-3</v>
      </c>
      <c r="BD23" s="77">
        <v>2.8E-3</v>
      </c>
      <c r="BE23" s="77">
        <v>1.4E-3</v>
      </c>
      <c r="BF23" s="77">
        <v>9.7999999999999997E-3</v>
      </c>
      <c r="BG23" s="77">
        <v>0</v>
      </c>
      <c r="BH23" s="77">
        <v>-0.12039999999999999</v>
      </c>
      <c r="BI23" s="77">
        <v>-1.4E-3</v>
      </c>
      <c r="BJ23" s="77">
        <v>-2.8E-3</v>
      </c>
      <c r="BK23" s="77">
        <v>-4.1999999999999997E-3</v>
      </c>
      <c r="BL23" s="77">
        <v>5.5999999999999999E-3</v>
      </c>
      <c r="BM23" s="77">
        <v>2.8000000000000001E-2</v>
      </c>
      <c r="BN23" s="77">
        <v>-1.6799999999999999E-2</v>
      </c>
      <c r="BO23" s="77">
        <v>-8.8200000000000001E-2</v>
      </c>
      <c r="BP23" s="77">
        <v>-1.54E-2</v>
      </c>
      <c r="BQ23" s="77">
        <v>0.20019999999999999</v>
      </c>
      <c r="BR23" s="79"/>
    </row>
    <row r="24" spans="1:70" ht="15" x14ac:dyDescent="0.25">
      <c r="A24" s="74" t="s">
        <v>176</v>
      </c>
      <c r="B24" s="50" t="s">
        <v>90</v>
      </c>
      <c r="C24" s="75" t="s">
        <v>170</v>
      </c>
      <c r="D24" s="76"/>
      <c r="E24" s="71">
        <v>0.52080000000000004</v>
      </c>
      <c r="F24" s="71">
        <v>0</v>
      </c>
      <c r="G24" s="71">
        <v>281.26</v>
      </c>
      <c r="H24" s="71">
        <v>4.1845999999999997</v>
      </c>
      <c r="I24" s="71">
        <v>42910</v>
      </c>
      <c r="J24" s="71">
        <v>0.55020000000000002</v>
      </c>
      <c r="K24" s="71">
        <v>377.02</v>
      </c>
      <c r="L24" s="71">
        <v>4580800</v>
      </c>
      <c r="M24" s="71">
        <v>3.0870000000000002</v>
      </c>
      <c r="N24" s="71">
        <v>338.94</v>
      </c>
      <c r="O24" s="71">
        <v>-0.17219999999999999</v>
      </c>
      <c r="P24" s="71">
        <v>3.0870000000000002</v>
      </c>
      <c r="Q24" s="71">
        <v>5.9290000000000003</v>
      </c>
      <c r="R24" s="71">
        <v>1.1858</v>
      </c>
      <c r="S24" s="71">
        <v>3.8527999999999998</v>
      </c>
      <c r="T24" s="71">
        <v>6497.4</v>
      </c>
      <c r="U24" s="71">
        <v>7.9799999999999996E-2</v>
      </c>
      <c r="V24" s="71">
        <v>2.1783999999999999</v>
      </c>
      <c r="W24" s="71">
        <v>25.13</v>
      </c>
      <c r="X24" s="71">
        <v>96.81</v>
      </c>
      <c r="Y24" s="71">
        <v>57.89</v>
      </c>
      <c r="Z24" s="71">
        <v>0.3332</v>
      </c>
      <c r="AA24" s="71">
        <v>0.65659999999999996</v>
      </c>
      <c r="AB24" s="71">
        <v>-0.35560000000000003</v>
      </c>
      <c r="AC24" s="71">
        <v>2.1000000000000001E-2</v>
      </c>
      <c r="AD24" s="71">
        <v>0.14979999999999999</v>
      </c>
      <c r="AE24" s="71">
        <v>2.52E-2</v>
      </c>
      <c r="AF24" s="71">
        <v>0.40739999999999998</v>
      </c>
      <c r="AG24" s="71">
        <v>0</v>
      </c>
      <c r="AH24" s="71">
        <v>0.21279999999999999</v>
      </c>
      <c r="AI24" s="71">
        <v>-1.4E-3</v>
      </c>
      <c r="AJ24" s="71">
        <v>0</v>
      </c>
      <c r="AK24" s="71">
        <v>1.4E-3</v>
      </c>
      <c r="AL24" s="71">
        <v>-0.7742</v>
      </c>
      <c r="AM24" s="71">
        <v>-1.26E-2</v>
      </c>
      <c r="AN24" s="71">
        <v>1.4E-2</v>
      </c>
      <c r="AO24" s="71">
        <v>-6.7199999999999996E-2</v>
      </c>
      <c r="AP24" s="71">
        <v>-2.52E-2</v>
      </c>
      <c r="AQ24" s="71">
        <v>20.803999999999998</v>
      </c>
      <c r="AR24" s="71">
        <v>0.71540000000000004</v>
      </c>
      <c r="AS24" s="71">
        <v>0.65239999999999998</v>
      </c>
      <c r="AT24" s="71">
        <v>5.74E-2</v>
      </c>
      <c r="AU24" s="71">
        <v>1.8200000000000001E-2</v>
      </c>
      <c r="AV24" s="71">
        <v>0.29680000000000001</v>
      </c>
      <c r="AW24" s="71">
        <v>2.8E-3</v>
      </c>
      <c r="AX24" s="71">
        <v>-7.0000000000000001E-3</v>
      </c>
      <c r="AY24" s="71">
        <v>2.8E-3</v>
      </c>
      <c r="AZ24" s="71">
        <v>0.14699999999999999</v>
      </c>
      <c r="BA24" s="77">
        <v>0</v>
      </c>
      <c r="BB24" s="77">
        <v>0</v>
      </c>
      <c r="BC24" s="77">
        <v>2.9399999999999999E-2</v>
      </c>
      <c r="BD24" s="77">
        <v>0</v>
      </c>
      <c r="BE24" s="77">
        <v>1.4E-3</v>
      </c>
      <c r="BF24" s="77">
        <v>1.12E-2</v>
      </c>
      <c r="BG24" s="77">
        <v>0</v>
      </c>
      <c r="BH24" s="77">
        <v>-0.126</v>
      </c>
      <c r="BI24" s="77">
        <v>-1.4E-3</v>
      </c>
      <c r="BJ24" s="77">
        <v>-2.8E-3</v>
      </c>
      <c r="BK24" s="77">
        <v>-4.1999999999999997E-3</v>
      </c>
      <c r="BL24" s="77">
        <v>5.5999999999999999E-3</v>
      </c>
      <c r="BM24" s="77">
        <v>0.2492</v>
      </c>
      <c r="BN24" s="77">
        <v>-1.9599999999999999E-2</v>
      </c>
      <c r="BO24" s="77">
        <v>-0.1106</v>
      </c>
      <c r="BP24" s="77">
        <v>0.1414</v>
      </c>
      <c r="BQ24" s="77">
        <v>0.43959999999999999</v>
      </c>
      <c r="BR24" s="79"/>
    </row>
    <row r="25" spans="1:70" ht="15" x14ac:dyDescent="0.25">
      <c r="A25" s="74" t="s">
        <v>177</v>
      </c>
      <c r="B25" s="50" t="s">
        <v>91</v>
      </c>
      <c r="C25" s="75" t="s">
        <v>170</v>
      </c>
      <c r="D25" s="76"/>
      <c r="E25" s="71">
        <v>0.35959999999999998</v>
      </c>
      <c r="F25" s="71">
        <v>0.12920000000000001</v>
      </c>
      <c r="G25" s="71">
        <v>62.32</v>
      </c>
      <c r="H25" s="71">
        <v>104.36</v>
      </c>
      <c r="I25" s="71">
        <v>519.6</v>
      </c>
      <c r="J25" s="71">
        <v>31.68</v>
      </c>
      <c r="K25" s="71">
        <v>2995.6</v>
      </c>
      <c r="L25" s="71">
        <v>1638000</v>
      </c>
      <c r="M25" s="71">
        <v>41.36</v>
      </c>
      <c r="N25" s="71">
        <v>238.92</v>
      </c>
      <c r="O25" s="71">
        <v>0.27479999999999999</v>
      </c>
      <c r="P25" s="71">
        <v>41.36</v>
      </c>
      <c r="Q25" s="71">
        <v>1.3076000000000001</v>
      </c>
      <c r="R25" s="71">
        <v>0.33560000000000001</v>
      </c>
      <c r="S25" s="71">
        <v>72.84</v>
      </c>
      <c r="T25" s="71">
        <v>485.6</v>
      </c>
      <c r="U25" s="71">
        <v>1.2896000000000001</v>
      </c>
      <c r="V25" s="71">
        <v>2.8296000000000001</v>
      </c>
      <c r="W25" s="71">
        <v>109.32</v>
      </c>
      <c r="X25" s="71">
        <v>103.16</v>
      </c>
      <c r="Y25" s="71">
        <v>6.6400000000000001E-2</v>
      </c>
      <c r="Z25" s="71">
        <v>6.8000000000000005E-2</v>
      </c>
      <c r="AA25" s="71">
        <v>0.29120000000000001</v>
      </c>
      <c r="AB25" s="71">
        <v>1.0764</v>
      </c>
      <c r="AC25" s="71">
        <v>1.4800000000000001E-2</v>
      </c>
      <c r="AD25" s="71">
        <v>29.512</v>
      </c>
      <c r="AE25" s="71">
        <v>1.5036</v>
      </c>
      <c r="AF25" s="71">
        <v>1.6312</v>
      </c>
      <c r="AG25" s="71">
        <v>0</v>
      </c>
      <c r="AH25" s="71">
        <v>0.32240000000000002</v>
      </c>
      <c r="AI25" s="71">
        <v>-4.0000000000000002E-4</v>
      </c>
      <c r="AJ25" s="71">
        <v>4.0000000000000002E-4</v>
      </c>
      <c r="AK25" s="71">
        <v>6.6400000000000001E-2</v>
      </c>
      <c r="AL25" s="71">
        <v>0.246</v>
      </c>
      <c r="AM25" s="71">
        <v>4.7999999999999996E-3</v>
      </c>
      <c r="AN25" s="71">
        <v>9.5200000000000007E-2</v>
      </c>
      <c r="AO25" s="71">
        <v>-1.9199999999999998E-2</v>
      </c>
      <c r="AP25" s="71">
        <v>-5.5999999999999999E-3</v>
      </c>
      <c r="AQ25" s="71">
        <v>11.592000000000001</v>
      </c>
      <c r="AR25" s="71">
        <v>1.2243999999999999</v>
      </c>
      <c r="AS25" s="71">
        <v>2.3904000000000001</v>
      </c>
      <c r="AT25" s="71">
        <v>0.31519999999999998</v>
      </c>
      <c r="AU25" s="71">
        <v>1.2896000000000001</v>
      </c>
      <c r="AV25" s="71">
        <v>0.2984</v>
      </c>
      <c r="AW25" s="71">
        <v>6.0400000000000002E-2</v>
      </c>
      <c r="AX25" s="71">
        <v>0.27600000000000002</v>
      </c>
      <c r="AY25" s="71">
        <v>3.8800000000000001E-2</v>
      </c>
      <c r="AZ25" s="71">
        <v>0.21160000000000001</v>
      </c>
      <c r="BA25" s="77">
        <v>4.5600000000000002E-2</v>
      </c>
      <c r="BB25" s="77">
        <v>0.11600000000000001</v>
      </c>
      <c r="BC25" s="77">
        <v>1.5599999999999999E-2</v>
      </c>
      <c r="BD25" s="77">
        <v>0.09</v>
      </c>
      <c r="BE25" s="77">
        <v>1.2E-2</v>
      </c>
      <c r="BF25" s="77">
        <v>7.8399999999999997E-2</v>
      </c>
      <c r="BG25" s="77">
        <v>0</v>
      </c>
      <c r="BH25" s="77">
        <v>-4.0000000000000002E-4</v>
      </c>
      <c r="BI25" s="77">
        <v>3.2000000000000002E-3</v>
      </c>
      <c r="BJ25" s="77">
        <v>4.0000000000000002E-4</v>
      </c>
      <c r="BK25" s="77">
        <v>-8.0000000000000004E-4</v>
      </c>
      <c r="BL25" s="77">
        <v>1.6000000000000001E-3</v>
      </c>
      <c r="BM25" s="77">
        <v>5.8799999999999998E-2</v>
      </c>
      <c r="BN25" s="77">
        <v>2E-3</v>
      </c>
      <c r="BO25" s="77">
        <v>7.3999999999999996E-2</v>
      </c>
      <c r="BP25" s="77">
        <v>0.222</v>
      </c>
      <c r="BQ25" s="77">
        <v>0.29680000000000001</v>
      </c>
      <c r="BR25" s="79"/>
    </row>
    <row r="26" spans="1:70" ht="15" x14ac:dyDescent="0.25">
      <c r="A26" s="74" t="s">
        <v>177</v>
      </c>
      <c r="B26" s="50" t="s">
        <v>91</v>
      </c>
      <c r="C26" s="75" t="s">
        <v>170</v>
      </c>
      <c r="D26" s="76"/>
      <c r="E26" s="71">
        <v>0.35199999999999998</v>
      </c>
      <c r="F26" s="71">
        <v>0.09</v>
      </c>
      <c r="G26" s="71">
        <v>62.8</v>
      </c>
      <c r="H26" s="71">
        <v>99.12</v>
      </c>
      <c r="I26" s="71">
        <v>484.8</v>
      </c>
      <c r="J26" s="71">
        <v>27.2</v>
      </c>
      <c r="K26" s="71">
        <v>3046</v>
      </c>
      <c r="L26" s="71">
        <v>1688800</v>
      </c>
      <c r="M26" s="71">
        <v>40.880000000000003</v>
      </c>
      <c r="N26" s="71">
        <v>238.64</v>
      </c>
      <c r="O26" s="71">
        <v>0.83399999999999996</v>
      </c>
      <c r="P26" s="71">
        <v>40.880000000000003</v>
      </c>
      <c r="Q26" s="71">
        <v>1.2907999999999999</v>
      </c>
      <c r="R26" s="71">
        <v>0.32919999999999999</v>
      </c>
      <c r="S26" s="71">
        <v>70.16</v>
      </c>
      <c r="T26" s="71">
        <v>470.4</v>
      </c>
      <c r="U26" s="71">
        <v>1.2744</v>
      </c>
      <c r="V26" s="71">
        <v>2.6375999999999999</v>
      </c>
      <c r="W26" s="71">
        <v>95.24</v>
      </c>
      <c r="X26" s="71">
        <v>55.52</v>
      </c>
      <c r="Y26" s="71">
        <v>6.2399999999999997E-2</v>
      </c>
      <c r="Z26" s="71">
        <v>8.1600000000000006E-2</v>
      </c>
      <c r="AA26" s="71">
        <v>0.29720000000000002</v>
      </c>
      <c r="AB26" s="71">
        <v>0.41920000000000002</v>
      </c>
      <c r="AC26" s="71">
        <v>1.32E-2</v>
      </c>
      <c r="AD26" s="71">
        <v>28.167999999999999</v>
      </c>
      <c r="AE26" s="71">
        <v>2.1779999999999999</v>
      </c>
      <c r="AF26" s="71">
        <v>1.3128</v>
      </c>
      <c r="AG26" s="71">
        <v>0</v>
      </c>
      <c r="AH26" s="71">
        <v>0.32440000000000002</v>
      </c>
      <c r="AI26" s="71">
        <v>-4.0000000000000002E-4</v>
      </c>
      <c r="AJ26" s="71">
        <v>4.0000000000000002E-4</v>
      </c>
      <c r="AK26" s="71">
        <v>9.7199999999999995E-2</v>
      </c>
      <c r="AL26" s="71">
        <v>-8.3999999999999995E-3</v>
      </c>
      <c r="AM26" s="71">
        <v>2E-3</v>
      </c>
      <c r="AN26" s="71">
        <v>5.3199999999999997E-2</v>
      </c>
      <c r="AO26" s="71">
        <v>-1.9199999999999998E-2</v>
      </c>
      <c r="AP26" s="71">
        <v>-6.0000000000000001E-3</v>
      </c>
      <c r="AQ26" s="71">
        <v>11.596</v>
      </c>
      <c r="AR26" s="71">
        <v>1.802</v>
      </c>
      <c r="AS26" s="71">
        <v>3.5623999999999998</v>
      </c>
      <c r="AT26" s="71">
        <v>0.46479999999999999</v>
      </c>
      <c r="AU26" s="71">
        <v>1.8475999999999999</v>
      </c>
      <c r="AV26" s="71">
        <v>0.38400000000000001</v>
      </c>
      <c r="AW26" s="71">
        <v>8.1600000000000006E-2</v>
      </c>
      <c r="AX26" s="71">
        <v>0.4088</v>
      </c>
      <c r="AY26" s="71">
        <v>5.8000000000000003E-2</v>
      </c>
      <c r="AZ26" s="71">
        <v>0.35</v>
      </c>
      <c r="BA26" s="77">
        <v>6.08E-2</v>
      </c>
      <c r="BB26" s="77">
        <v>0.15720000000000001</v>
      </c>
      <c r="BC26" s="77">
        <v>1.9599999999999999E-2</v>
      </c>
      <c r="BD26" s="77">
        <v>0.13800000000000001</v>
      </c>
      <c r="BE26" s="77">
        <v>1.72E-2</v>
      </c>
      <c r="BF26" s="77">
        <v>5.7200000000000001E-2</v>
      </c>
      <c r="BG26" s="77">
        <v>4.0000000000000002E-4</v>
      </c>
      <c r="BH26" s="77">
        <v>-4.0000000000000001E-3</v>
      </c>
      <c r="BI26" s="77">
        <v>4.0000000000000001E-3</v>
      </c>
      <c r="BJ26" s="77">
        <v>-4.0000000000000002E-4</v>
      </c>
      <c r="BK26" s="77">
        <v>-8.0000000000000004E-4</v>
      </c>
      <c r="BL26" s="77">
        <v>2.8E-3</v>
      </c>
      <c r="BM26" s="77">
        <v>0.1232</v>
      </c>
      <c r="BN26" s="77">
        <v>-9.5999999999999992E-3</v>
      </c>
      <c r="BO26" s="77">
        <v>2.4E-2</v>
      </c>
      <c r="BP26" s="77">
        <v>0.36799999999999999</v>
      </c>
      <c r="BQ26" s="77">
        <v>0.44519999999999998</v>
      </c>
      <c r="BR26" s="79"/>
    </row>
    <row r="27" spans="1:70" ht="15" x14ac:dyDescent="0.25">
      <c r="A27" s="74" t="s">
        <v>177</v>
      </c>
      <c r="B27" s="50" t="s">
        <v>91</v>
      </c>
      <c r="C27" s="75" t="s">
        <v>170</v>
      </c>
      <c r="D27" s="76"/>
      <c r="E27" s="71">
        <v>0.34839999999999999</v>
      </c>
      <c r="F27" s="71">
        <v>3.7600000000000001E-2</v>
      </c>
      <c r="G27" s="71">
        <v>63.16</v>
      </c>
      <c r="H27" s="71">
        <v>104.76</v>
      </c>
      <c r="I27" s="71">
        <v>494.8</v>
      </c>
      <c r="J27" s="71">
        <v>35.072000000000003</v>
      </c>
      <c r="K27" s="71">
        <v>2911.6</v>
      </c>
      <c r="L27" s="71">
        <v>1664800</v>
      </c>
      <c r="M27" s="71">
        <v>43.04</v>
      </c>
      <c r="N27" s="71">
        <v>236.72</v>
      </c>
      <c r="O27" s="71">
        <v>0.69</v>
      </c>
      <c r="P27" s="71">
        <v>43.04</v>
      </c>
      <c r="Q27" s="71">
        <v>1.2836000000000001</v>
      </c>
      <c r="R27" s="71">
        <v>0.33679999999999999</v>
      </c>
      <c r="S27" s="71">
        <v>73.48</v>
      </c>
      <c r="T27" s="71">
        <v>466.8</v>
      </c>
      <c r="U27" s="71">
        <v>1.2844</v>
      </c>
      <c r="V27" s="71">
        <v>2.8328000000000002</v>
      </c>
      <c r="W27" s="71">
        <v>90.84</v>
      </c>
      <c r="X27" s="71">
        <v>58.24</v>
      </c>
      <c r="Y27" s="71">
        <v>5.28E-2</v>
      </c>
      <c r="Z27" s="71">
        <v>6.5199999999999994E-2</v>
      </c>
      <c r="AA27" s="71">
        <v>0.27439999999999998</v>
      </c>
      <c r="AB27" s="71">
        <v>0.3836</v>
      </c>
      <c r="AC27" s="71">
        <v>1.52E-2</v>
      </c>
      <c r="AD27" s="71">
        <v>29.376000000000001</v>
      </c>
      <c r="AE27" s="71">
        <v>2.0996000000000001</v>
      </c>
      <c r="AF27" s="71">
        <v>1.2132000000000001</v>
      </c>
      <c r="AG27" s="71">
        <v>0</v>
      </c>
      <c r="AH27" s="71">
        <v>0.28839999999999999</v>
      </c>
      <c r="AI27" s="71">
        <v>-4.0000000000000002E-4</v>
      </c>
      <c r="AJ27" s="71">
        <v>0</v>
      </c>
      <c r="AK27" s="71">
        <v>9.0800000000000006E-2</v>
      </c>
      <c r="AL27" s="71">
        <v>-8.0799999999999997E-2</v>
      </c>
      <c r="AM27" s="71">
        <v>-4.0000000000000002E-4</v>
      </c>
      <c r="AN27" s="71">
        <v>3.44E-2</v>
      </c>
      <c r="AO27" s="71">
        <v>-1.9199999999999998E-2</v>
      </c>
      <c r="AP27" s="71">
        <v>-5.1999999999999998E-3</v>
      </c>
      <c r="AQ27" s="71">
        <v>11.512</v>
      </c>
      <c r="AR27" s="71">
        <v>1.8076000000000001</v>
      </c>
      <c r="AS27" s="71">
        <v>3.4815999999999998</v>
      </c>
      <c r="AT27" s="71">
        <v>0.434</v>
      </c>
      <c r="AU27" s="71">
        <v>1.8855999999999999</v>
      </c>
      <c r="AV27" s="71">
        <v>0.3468</v>
      </c>
      <c r="AW27" s="71">
        <v>8.7599999999999997E-2</v>
      </c>
      <c r="AX27" s="71">
        <v>0.39879999999999999</v>
      </c>
      <c r="AY27" s="71">
        <v>5.3199999999999997E-2</v>
      </c>
      <c r="AZ27" s="71">
        <v>0.29320000000000002</v>
      </c>
      <c r="BA27" s="77">
        <v>6.8400000000000002E-2</v>
      </c>
      <c r="BB27" s="77">
        <v>0.16600000000000001</v>
      </c>
      <c r="BC27" s="77">
        <v>2.3599999999999999E-2</v>
      </c>
      <c r="BD27" s="77">
        <v>0.13</v>
      </c>
      <c r="BE27" s="77">
        <v>1.7600000000000001E-2</v>
      </c>
      <c r="BF27" s="77">
        <v>5.7599999999999998E-2</v>
      </c>
      <c r="BG27" s="77">
        <v>4.0000000000000002E-4</v>
      </c>
      <c r="BH27" s="77">
        <v>-2E-3</v>
      </c>
      <c r="BI27" s="77">
        <v>5.5999999999999999E-3</v>
      </c>
      <c r="BJ27" s="77">
        <v>8.0000000000000004E-4</v>
      </c>
      <c r="BK27" s="77">
        <v>-8.0000000000000004E-4</v>
      </c>
      <c r="BL27" s="77">
        <v>4.4000000000000003E-3</v>
      </c>
      <c r="BM27" s="77">
        <v>0.1348</v>
      </c>
      <c r="BN27" s="77">
        <v>-9.1999999999999998E-3</v>
      </c>
      <c r="BO27" s="77">
        <v>1.5599999999999999E-2</v>
      </c>
      <c r="BP27" s="77">
        <v>0.36759999999999998</v>
      </c>
      <c r="BQ27" s="77">
        <v>0.44840000000000002</v>
      </c>
      <c r="BR27" s="79"/>
    </row>
    <row r="28" spans="1:70" ht="15" x14ac:dyDescent="0.25">
      <c r="A28" s="74" t="s">
        <v>178</v>
      </c>
      <c r="B28" s="50" t="s">
        <v>92</v>
      </c>
      <c r="C28" s="75" t="s">
        <v>170</v>
      </c>
      <c r="D28" s="76"/>
      <c r="E28" s="71">
        <v>7.7100000000000002E-2</v>
      </c>
      <c r="F28" s="71">
        <v>6.0000000000000001E-3</v>
      </c>
      <c r="G28" s="71">
        <v>115.23</v>
      </c>
      <c r="H28" s="71">
        <v>9.5879999999999992</v>
      </c>
      <c r="I28" s="71">
        <v>37.44</v>
      </c>
      <c r="J28" s="71">
        <v>29.055</v>
      </c>
      <c r="K28" s="71">
        <v>1374</v>
      </c>
      <c r="L28" s="71">
        <v>5628000</v>
      </c>
      <c r="M28" s="71">
        <v>0.60570000000000002</v>
      </c>
      <c r="N28" s="71">
        <v>151.47</v>
      </c>
      <c r="O28" s="71">
        <v>1.32E-2</v>
      </c>
      <c r="P28" s="71">
        <v>0.60570000000000002</v>
      </c>
      <c r="Q28" s="71">
        <v>4.26</v>
      </c>
      <c r="R28" s="71">
        <v>3.0390000000000001</v>
      </c>
      <c r="S28" s="71">
        <v>3.468</v>
      </c>
      <c r="T28" s="71">
        <v>1244.7</v>
      </c>
      <c r="U28" s="71">
        <v>2.145</v>
      </c>
      <c r="V28" s="71">
        <v>3.51</v>
      </c>
      <c r="W28" s="71">
        <v>63840</v>
      </c>
      <c r="X28" s="71">
        <v>338700</v>
      </c>
      <c r="Y28" s="71">
        <v>0.06</v>
      </c>
      <c r="Z28" s="71">
        <v>8.8499999999999995E-2</v>
      </c>
      <c r="AA28" s="71">
        <v>48.54</v>
      </c>
      <c r="AB28" s="71">
        <v>42.54</v>
      </c>
      <c r="AC28" s="71">
        <v>1.41E-2</v>
      </c>
      <c r="AD28" s="71">
        <v>1.2399</v>
      </c>
      <c r="AE28" s="71">
        <v>-5.9999999999999995E-4</v>
      </c>
      <c r="AF28" s="71">
        <v>0.69120000000000004</v>
      </c>
      <c r="AG28" s="71">
        <v>0</v>
      </c>
      <c r="AH28" s="71">
        <v>85.86</v>
      </c>
      <c r="AI28" s="71">
        <v>2.9999999999999997E-4</v>
      </c>
      <c r="AJ28" s="71">
        <v>1.5E-3</v>
      </c>
      <c r="AK28" s="71">
        <v>0.1221</v>
      </c>
      <c r="AL28" s="71">
        <v>8.8140000000000001</v>
      </c>
      <c r="AM28" s="71">
        <v>6.8099999999999994E-2</v>
      </c>
      <c r="AN28" s="71">
        <v>0.14099999999999999</v>
      </c>
      <c r="AO28" s="71">
        <v>-1.8E-3</v>
      </c>
      <c r="AP28" s="71">
        <v>9.2999999999999992E-3</v>
      </c>
      <c r="AQ28" s="71">
        <v>3.5459999999999998</v>
      </c>
      <c r="AR28" s="71">
        <v>4.4999999999999997E-3</v>
      </c>
      <c r="AS28" s="71">
        <v>1.5299999999999999E-2</v>
      </c>
      <c r="AT28" s="71">
        <v>7.4999999999999997E-3</v>
      </c>
      <c r="AU28" s="71">
        <v>2.3999999999999998E-3</v>
      </c>
      <c r="AV28" s="71">
        <v>-2.9999999999999997E-4</v>
      </c>
      <c r="AW28" s="71">
        <v>0</v>
      </c>
      <c r="AX28" s="71">
        <v>3.8399999999999997E-2</v>
      </c>
      <c r="AY28" s="71">
        <v>0</v>
      </c>
      <c r="AZ28" s="71">
        <v>2.1299999999999999E-2</v>
      </c>
      <c r="BA28" s="77">
        <v>0</v>
      </c>
      <c r="BB28" s="77">
        <v>-2.9999999999999997E-4</v>
      </c>
      <c r="BC28" s="77">
        <v>0</v>
      </c>
      <c r="BD28" s="77">
        <v>4.0500000000000001E-2</v>
      </c>
      <c r="BE28" s="77">
        <v>1.29E-2</v>
      </c>
      <c r="BF28" s="77">
        <v>3.4200000000000001E-2</v>
      </c>
      <c r="BG28" s="77">
        <v>5.9999999999999995E-4</v>
      </c>
      <c r="BH28" s="77">
        <v>0.54810000000000003</v>
      </c>
      <c r="BI28" s="77">
        <v>0.18360000000000001</v>
      </c>
      <c r="BJ28" s="77">
        <v>5.9999999999999995E-4</v>
      </c>
      <c r="BK28" s="77">
        <v>-5.9999999999999995E-4</v>
      </c>
      <c r="BL28" s="77">
        <v>3.9E-2</v>
      </c>
      <c r="BM28" s="77">
        <v>0.1668</v>
      </c>
      <c r="BN28" s="77">
        <v>21.231000000000002</v>
      </c>
      <c r="BO28" s="77">
        <v>0.71189999999999998</v>
      </c>
      <c r="BP28" s="77">
        <v>0.2445</v>
      </c>
      <c r="BQ28" s="77">
        <v>1.8956999999999999</v>
      </c>
      <c r="BR28" s="79"/>
    </row>
    <row r="29" spans="1:70" ht="15" x14ac:dyDescent="0.25">
      <c r="A29" s="74" t="s">
        <v>178</v>
      </c>
      <c r="B29" s="50" t="s">
        <v>92</v>
      </c>
      <c r="C29" s="75" t="s">
        <v>170</v>
      </c>
      <c r="D29" s="76"/>
      <c r="E29" s="71">
        <v>7.6200000000000004E-2</v>
      </c>
      <c r="F29" s="71">
        <v>0</v>
      </c>
      <c r="G29" s="71">
        <v>108.66</v>
      </c>
      <c r="H29" s="71">
        <v>10.068</v>
      </c>
      <c r="I29" s="71">
        <v>34.11</v>
      </c>
      <c r="J29" s="71">
        <v>28.98</v>
      </c>
      <c r="K29" s="71">
        <v>1311.3</v>
      </c>
      <c r="L29" s="71">
        <v>5439000</v>
      </c>
      <c r="M29" s="71">
        <v>0.3327</v>
      </c>
      <c r="N29" s="71">
        <v>142.71</v>
      </c>
      <c r="O29" s="71">
        <v>0.16109999999999999</v>
      </c>
      <c r="P29" s="71">
        <v>0.3327</v>
      </c>
      <c r="Q29" s="71">
        <v>4.3079999999999998</v>
      </c>
      <c r="R29" s="71">
        <v>2.9918999999999998</v>
      </c>
      <c r="S29" s="71">
        <v>3.42</v>
      </c>
      <c r="T29" s="71">
        <v>1189.5</v>
      </c>
      <c r="U29" s="71">
        <v>2.1324000000000001</v>
      </c>
      <c r="V29" s="71">
        <v>3.4950000000000001</v>
      </c>
      <c r="W29" s="71">
        <v>64110</v>
      </c>
      <c r="X29" s="71">
        <v>342300</v>
      </c>
      <c r="Y29" s="71">
        <v>5.7599999999999998E-2</v>
      </c>
      <c r="Z29" s="71">
        <v>7.2599999999999998E-2</v>
      </c>
      <c r="AA29" s="71">
        <v>45.93</v>
      </c>
      <c r="AB29" s="71">
        <v>44.91</v>
      </c>
      <c r="AC29" s="71">
        <v>1.23E-2</v>
      </c>
      <c r="AD29" s="71">
        <v>1.2918000000000001</v>
      </c>
      <c r="AE29" s="71">
        <v>2.7000000000000001E-3</v>
      </c>
      <c r="AF29" s="71">
        <v>0.5343</v>
      </c>
      <c r="AG29" s="71">
        <v>0</v>
      </c>
      <c r="AH29" s="71">
        <v>89.52</v>
      </c>
      <c r="AI29" s="71">
        <v>6.6E-3</v>
      </c>
      <c r="AJ29" s="71">
        <v>1.23E-2</v>
      </c>
      <c r="AK29" s="71">
        <v>7.8299999999999995E-2</v>
      </c>
      <c r="AL29" s="71">
        <v>9.0389999999999997</v>
      </c>
      <c r="AM29" s="71">
        <v>6.9599999999999995E-2</v>
      </c>
      <c r="AN29" s="71">
        <v>0.16020000000000001</v>
      </c>
      <c r="AO29" s="71">
        <v>-1.5E-3</v>
      </c>
      <c r="AP29" s="71">
        <v>9.5999999999999992E-3</v>
      </c>
      <c r="AQ29" s="71">
        <v>3.3149999999999999</v>
      </c>
      <c r="AR29" s="71">
        <v>6.0000000000000001E-3</v>
      </c>
      <c r="AS29" s="71">
        <v>9.5999999999999992E-3</v>
      </c>
      <c r="AT29" s="71">
        <v>2.3999999999999998E-3</v>
      </c>
      <c r="AU29" s="71">
        <v>1.44E-2</v>
      </c>
      <c r="AV29" s="71">
        <v>-5.9999999999999995E-4</v>
      </c>
      <c r="AW29" s="71">
        <v>5.9999999999999995E-4</v>
      </c>
      <c r="AX29" s="71">
        <v>-1.8E-3</v>
      </c>
      <c r="AY29" s="71">
        <v>0</v>
      </c>
      <c r="AZ29" s="71">
        <v>3.8999999999999998E-3</v>
      </c>
      <c r="BA29" s="77">
        <v>0</v>
      </c>
      <c r="BB29" s="77">
        <v>-2.9999999999999997E-4</v>
      </c>
      <c r="BC29" s="77">
        <v>2.9999999999999997E-4</v>
      </c>
      <c r="BD29" s="77">
        <v>2.9999999999999997E-4</v>
      </c>
      <c r="BE29" s="77">
        <v>0</v>
      </c>
      <c r="BF29" s="77">
        <v>2.2499999999999999E-2</v>
      </c>
      <c r="BG29" s="77">
        <v>2.9999999999999997E-4</v>
      </c>
      <c r="BH29" s="77">
        <v>0.59519999999999995</v>
      </c>
      <c r="BI29" s="77">
        <v>0.1716</v>
      </c>
      <c r="BJ29" s="77">
        <v>0</v>
      </c>
      <c r="BK29" s="77">
        <v>-5.9999999999999995E-4</v>
      </c>
      <c r="BL29" s="77">
        <v>1.1999999999999999E-3</v>
      </c>
      <c r="BM29" s="77">
        <v>0.14369999999999999</v>
      </c>
      <c r="BN29" s="77">
        <v>21.350999999999999</v>
      </c>
      <c r="BO29" s="77">
        <v>0.70440000000000003</v>
      </c>
      <c r="BP29" s="77">
        <v>8.1000000000000003E-2</v>
      </c>
      <c r="BQ29" s="77">
        <v>3.2010000000000001</v>
      </c>
      <c r="BR29" s="79"/>
    </row>
    <row r="30" spans="1:70" ht="15" x14ac:dyDescent="0.25">
      <c r="A30" s="74" t="s">
        <v>178</v>
      </c>
      <c r="B30" s="50" t="s">
        <v>92</v>
      </c>
      <c r="C30" s="75" t="s">
        <v>170</v>
      </c>
      <c r="D30" s="76"/>
      <c r="E30" s="71">
        <v>7.5899999999999995E-2</v>
      </c>
      <c r="F30" s="71">
        <v>0</v>
      </c>
      <c r="G30" s="71">
        <v>113.61</v>
      </c>
      <c r="H30" s="71">
        <v>8.76</v>
      </c>
      <c r="I30" s="71">
        <v>32.43</v>
      </c>
      <c r="J30" s="71">
        <v>28.779</v>
      </c>
      <c r="K30" s="71">
        <v>1326.6</v>
      </c>
      <c r="L30" s="71">
        <v>5592000</v>
      </c>
      <c r="M30" s="71">
        <v>0.16320000000000001</v>
      </c>
      <c r="N30" s="71">
        <v>150.93</v>
      </c>
      <c r="O30" s="71">
        <v>5.91E-2</v>
      </c>
      <c r="P30" s="71">
        <v>0.16320000000000001</v>
      </c>
      <c r="Q30" s="71">
        <v>4.2329999999999997</v>
      </c>
      <c r="R30" s="71">
        <v>2.9091</v>
      </c>
      <c r="S30" s="71">
        <v>3.516</v>
      </c>
      <c r="T30" s="71">
        <v>1237.2</v>
      </c>
      <c r="U30" s="71">
        <v>2.0495999999999999</v>
      </c>
      <c r="V30" s="71">
        <v>3.2429999999999999</v>
      </c>
      <c r="W30" s="71">
        <v>61230</v>
      </c>
      <c r="X30" s="71">
        <v>324300</v>
      </c>
      <c r="Y30" s="71">
        <v>5.67E-2</v>
      </c>
      <c r="Z30" s="71">
        <v>7.8899999999999998E-2</v>
      </c>
      <c r="AA30" s="71">
        <v>47.37</v>
      </c>
      <c r="AB30" s="71">
        <v>48.33</v>
      </c>
      <c r="AC30" s="71">
        <v>1.44E-2</v>
      </c>
      <c r="AD30" s="71">
        <v>1.2216</v>
      </c>
      <c r="AE30" s="71">
        <v>4.1999999999999997E-3</v>
      </c>
      <c r="AF30" s="71">
        <v>0.40710000000000002</v>
      </c>
      <c r="AG30" s="71">
        <v>0</v>
      </c>
      <c r="AH30" s="71">
        <v>84.87</v>
      </c>
      <c r="AI30" s="71">
        <v>9.2999999999999992E-3</v>
      </c>
      <c r="AJ30" s="71">
        <v>9.9000000000000008E-3</v>
      </c>
      <c r="AK30" s="71">
        <v>6.6900000000000001E-2</v>
      </c>
      <c r="AL30" s="71">
        <v>8.8800000000000008</v>
      </c>
      <c r="AM30" s="71">
        <v>6.93E-2</v>
      </c>
      <c r="AN30" s="71">
        <v>0.1323</v>
      </c>
      <c r="AO30" s="71">
        <v>-1.44E-2</v>
      </c>
      <c r="AP30" s="71">
        <v>2.3999999999999998E-3</v>
      </c>
      <c r="AQ30" s="71">
        <v>3.5550000000000002</v>
      </c>
      <c r="AR30" s="71">
        <v>6.3E-3</v>
      </c>
      <c r="AS30" s="71">
        <v>9.9000000000000008E-3</v>
      </c>
      <c r="AT30" s="71">
        <v>8.9999999999999998E-4</v>
      </c>
      <c r="AU30" s="71">
        <v>4.7999999999999996E-3</v>
      </c>
      <c r="AV30" s="71">
        <v>8.9999999999999998E-4</v>
      </c>
      <c r="AW30" s="71">
        <v>5.9999999999999995E-4</v>
      </c>
      <c r="AX30" s="71">
        <v>-2.7000000000000001E-3</v>
      </c>
      <c r="AY30" s="71">
        <v>0</v>
      </c>
      <c r="AZ30" s="71">
        <v>4.4999999999999997E-3</v>
      </c>
      <c r="BA30" s="77">
        <v>2.9999999999999997E-4</v>
      </c>
      <c r="BB30" s="77">
        <v>-2.9999999999999997E-4</v>
      </c>
      <c r="BC30" s="77">
        <v>2.9999999999999997E-4</v>
      </c>
      <c r="BD30" s="77">
        <v>-2.9999999999999997E-4</v>
      </c>
      <c r="BE30" s="77">
        <v>2.9999999999999997E-4</v>
      </c>
      <c r="BF30" s="77">
        <v>1.32E-2</v>
      </c>
      <c r="BG30" s="77">
        <v>0</v>
      </c>
      <c r="BH30" s="77">
        <v>0.58589999999999998</v>
      </c>
      <c r="BI30" s="77">
        <v>0.1734</v>
      </c>
      <c r="BJ30" s="77">
        <v>1.1999999999999999E-3</v>
      </c>
      <c r="BK30" s="77">
        <v>-8.9999999999999998E-4</v>
      </c>
      <c r="BL30" s="77">
        <v>2.0999999999999999E-3</v>
      </c>
      <c r="BM30" s="77">
        <v>0.15060000000000001</v>
      </c>
      <c r="BN30" s="77">
        <v>20.463000000000001</v>
      </c>
      <c r="BO30" s="77">
        <v>0.66479999999999995</v>
      </c>
      <c r="BP30" s="77">
        <v>9.5399999999999999E-2</v>
      </c>
      <c r="BQ30" s="77">
        <v>3.2490000000000001</v>
      </c>
      <c r="BR30" s="79"/>
    </row>
    <row r="31" spans="1:70" ht="15" x14ac:dyDescent="0.25">
      <c r="A31" s="74" t="s">
        <v>179</v>
      </c>
      <c r="B31" s="50" t="s">
        <v>93</v>
      </c>
      <c r="C31" s="75" t="s">
        <v>170</v>
      </c>
      <c r="D31" s="76"/>
      <c r="E31" s="71">
        <v>0.19980000000000001</v>
      </c>
      <c r="F31" s="71">
        <v>0</v>
      </c>
      <c r="G31" s="71">
        <v>409.5</v>
      </c>
      <c r="H31" s="71">
        <v>12.189</v>
      </c>
      <c r="I31" s="71">
        <v>54.87</v>
      </c>
      <c r="J31" s="71">
        <v>3.4590000000000001</v>
      </c>
      <c r="K31" s="71">
        <v>1979.4</v>
      </c>
      <c r="L31" s="71">
        <v>7794000</v>
      </c>
      <c r="M31" s="71">
        <v>5.04E-2</v>
      </c>
      <c r="N31" s="71">
        <v>236.88</v>
      </c>
      <c r="O31" s="71">
        <v>5.9130000000000003</v>
      </c>
      <c r="P31" s="71">
        <v>5.04E-2</v>
      </c>
      <c r="Q31" s="71">
        <v>1.0059</v>
      </c>
      <c r="R31" s="71">
        <v>4.6769999999999996</v>
      </c>
      <c r="S31" s="71">
        <v>9.1920000000000002</v>
      </c>
      <c r="T31" s="71">
        <v>2201.1</v>
      </c>
      <c r="U31" s="71">
        <v>0.4914</v>
      </c>
      <c r="V31" s="71">
        <v>0.95789999999999997</v>
      </c>
      <c r="W31" s="71">
        <v>745.2</v>
      </c>
      <c r="X31" s="71">
        <v>983400</v>
      </c>
      <c r="Y31" s="71">
        <v>8.2799999999999999E-2</v>
      </c>
      <c r="Z31" s="71">
        <v>0.13350000000000001</v>
      </c>
      <c r="AA31" s="71">
        <v>15.945</v>
      </c>
      <c r="AB31" s="71">
        <v>115.59</v>
      </c>
      <c r="AC31" s="71">
        <v>3.0599999999999999E-2</v>
      </c>
      <c r="AD31" s="71">
        <v>2.0912999999999999</v>
      </c>
      <c r="AE31" s="71">
        <v>5.4000000000000003E-3</v>
      </c>
      <c r="AF31" s="71">
        <v>2.3699999999999999E-2</v>
      </c>
      <c r="AG31" s="71">
        <v>0</v>
      </c>
      <c r="AH31" s="71">
        <v>29.529</v>
      </c>
      <c r="AI31" s="71">
        <v>3.1800000000000002E-2</v>
      </c>
      <c r="AJ31" s="71">
        <v>8.0999999999999996E-3</v>
      </c>
      <c r="AK31" s="71">
        <v>1.1331</v>
      </c>
      <c r="AL31" s="71">
        <v>66.81</v>
      </c>
      <c r="AM31" s="71">
        <v>0.1215</v>
      </c>
      <c r="AN31" s="71">
        <v>5.9400000000000001E-2</v>
      </c>
      <c r="AO31" s="71">
        <v>-1.44E-2</v>
      </c>
      <c r="AP31" s="71">
        <v>3.5700000000000003E-2</v>
      </c>
      <c r="AQ31" s="71">
        <v>1.4916</v>
      </c>
      <c r="AR31" s="71">
        <v>7.1999999999999998E-3</v>
      </c>
      <c r="AS31" s="71">
        <v>2.2800000000000001E-2</v>
      </c>
      <c r="AT31" s="71">
        <v>3.8999999999999998E-3</v>
      </c>
      <c r="AU31" s="71">
        <v>2.7300000000000001E-2</v>
      </c>
      <c r="AV31" s="71">
        <v>3.0000000000000001E-3</v>
      </c>
      <c r="AW31" s="71">
        <v>1.8E-3</v>
      </c>
      <c r="AX31" s="71">
        <v>1.1999999999999999E-3</v>
      </c>
      <c r="AY31" s="71">
        <v>1.8E-3</v>
      </c>
      <c r="AZ31" s="71">
        <v>3.5999999999999999E-3</v>
      </c>
      <c r="BA31" s="77">
        <v>1.8E-3</v>
      </c>
      <c r="BB31" s="77">
        <v>2.3999999999999998E-3</v>
      </c>
      <c r="BC31" s="77">
        <v>1.8E-3</v>
      </c>
      <c r="BD31" s="77">
        <v>2.3999999999999998E-3</v>
      </c>
      <c r="BE31" s="77">
        <v>1.5E-3</v>
      </c>
      <c r="BF31" s="77">
        <v>3.4200000000000001E-2</v>
      </c>
      <c r="BG31" s="77">
        <v>0</v>
      </c>
      <c r="BH31" s="77">
        <v>0.13200000000000001</v>
      </c>
      <c r="BI31" s="77">
        <v>0.10829999999999999</v>
      </c>
      <c r="BJ31" s="77">
        <v>0</v>
      </c>
      <c r="BK31" s="77">
        <v>-5.9999999999999995E-4</v>
      </c>
      <c r="BL31" s="77">
        <v>3.3E-3</v>
      </c>
      <c r="BM31" s="77">
        <v>1.4624999999999999</v>
      </c>
      <c r="BN31" s="77">
        <v>34.47</v>
      </c>
      <c r="BO31" s="77">
        <v>0.5181</v>
      </c>
      <c r="BP31" s="77">
        <v>6.1769999999999996</v>
      </c>
      <c r="BQ31" s="77">
        <v>2.1312000000000002</v>
      </c>
      <c r="BR31" s="79"/>
    </row>
    <row r="32" spans="1:70" ht="15" x14ac:dyDescent="0.25">
      <c r="A32" s="74" t="s">
        <v>179</v>
      </c>
      <c r="B32" s="50" t="s">
        <v>93</v>
      </c>
      <c r="C32" s="75" t="s">
        <v>170</v>
      </c>
      <c r="D32" s="76"/>
      <c r="E32" s="71">
        <v>0.18210000000000001</v>
      </c>
      <c r="F32" s="71">
        <v>0</v>
      </c>
      <c r="G32" s="71">
        <v>416.1</v>
      </c>
      <c r="H32" s="71">
        <v>11.843999999999999</v>
      </c>
      <c r="I32" s="71">
        <v>45.36</v>
      </c>
      <c r="J32" s="71">
        <v>10.47</v>
      </c>
      <c r="K32" s="71">
        <v>2066.4</v>
      </c>
      <c r="L32" s="71">
        <v>7977000</v>
      </c>
      <c r="M32" s="71">
        <v>0.53039999999999998</v>
      </c>
      <c r="N32" s="71">
        <v>238.86</v>
      </c>
      <c r="O32" s="71">
        <v>4.5510000000000002</v>
      </c>
      <c r="P32" s="71">
        <v>0.53039999999999998</v>
      </c>
      <c r="Q32" s="71">
        <v>0.85229999999999995</v>
      </c>
      <c r="R32" s="71">
        <v>4.0170000000000003</v>
      </c>
      <c r="S32" s="71">
        <v>5.9219999999999997</v>
      </c>
      <c r="T32" s="71">
        <v>2291.6999999999998</v>
      </c>
      <c r="U32" s="71">
        <v>0.37140000000000001</v>
      </c>
      <c r="V32" s="71">
        <v>1.2594000000000001</v>
      </c>
      <c r="W32" s="71">
        <v>329.4</v>
      </c>
      <c r="X32" s="71">
        <v>844200</v>
      </c>
      <c r="Y32" s="71">
        <v>8.1000000000000003E-2</v>
      </c>
      <c r="Z32" s="71">
        <v>0.1545</v>
      </c>
      <c r="AA32" s="71">
        <v>16.608000000000001</v>
      </c>
      <c r="AB32" s="71">
        <v>134.43</v>
      </c>
      <c r="AC32" s="71">
        <v>2.9399999999999999E-2</v>
      </c>
      <c r="AD32" s="71">
        <v>2.1236999999999999</v>
      </c>
      <c r="AE32" s="71">
        <v>4.4999999999999997E-3</v>
      </c>
      <c r="AF32" s="71">
        <v>3.39E-2</v>
      </c>
      <c r="AG32" s="71">
        <v>0</v>
      </c>
      <c r="AH32" s="71">
        <v>24.795000000000002</v>
      </c>
      <c r="AI32" s="71">
        <v>4.1099999999999998E-2</v>
      </c>
      <c r="AJ32" s="71">
        <v>7.7999999999999996E-3</v>
      </c>
      <c r="AK32" s="71">
        <v>0.6825</v>
      </c>
      <c r="AL32" s="71">
        <v>56.34</v>
      </c>
      <c r="AM32" s="71">
        <v>7.9799999999999996E-2</v>
      </c>
      <c r="AN32" s="71">
        <v>9.1499999999999998E-2</v>
      </c>
      <c r="AO32" s="71">
        <v>-1.44E-2</v>
      </c>
      <c r="AP32" s="71">
        <v>9.5999999999999992E-3</v>
      </c>
      <c r="AQ32" s="71">
        <v>1.5939000000000001</v>
      </c>
      <c r="AR32" s="71">
        <v>7.4999999999999997E-3</v>
      </c>
      <c r="AS32" s="71">
        <v>2.7E-2</v>
      </c>
      <c r="AT32" s="71">
        <v>3.5999999999999999E-3</v>
      </c>
      <c r="AU32" s="71">
        <v>2.8799999999999999E-2</v>
      </c>
      <c r="AV32" s="71">
        <v>3.3E-3</v>
      </c>
      <c r="AW32" s="71">
        <v>1.8E-3</v>
      </c>
      <c r="AX32" s="71">
        <v>8.9999999999999998E-4</v>
      </c>
      <c r="AY32" s="71">
        <v>1.5E-3</v>
      </c>
      <c r="AZ32" s="71">
        <v>4.1999999999999997E-3</v>
      </c>
      <c r="BA32" s="77">
        <v>1.5E-3</v>
      </c>
      <c r="BB32" s="77">
        <v>1.8E-3</v>
      </c>
      <c r="BC32" s="77">
        <v>1.1999999999999999E-3</v>
      </c>
      <c r="BD32" s="77">
        <v>2.0999999999999999E-3</v>
      </c>
      <c r="BE32" s="77">
        <v>1.1999999999999999E-3</v>
      </c>
      <c r="BF32" s="77">
        <v>6.0000000000000001E-3</v>
      </c>
      <c r="BG32" s="77">
        <v>0</v>
      </c>
      <c r="BH32" s="77">
        <v>0.16980000000000001</v>
      </c>
      <c r="BI32" s="77">
        <v>7.8E-2</v>
      </c>
      <c r="BJ32" s="77">
        <v>2.9999999999999997E-4</v>
      </c>
      <c r="BK32" s="77">
        <v>-8.9999999999999998E-4</v>
      </c>
      <c r="BL32" s="77">
        <v>4.7999999999999996E-3</v>
      </c>
      <c r="BM32" s="77">
        <v>0.61260000000000003</v>
      </c>
      <c r="BN32" s="77">
        <v>29.73</v>
      </c>
      <c r="BO32" s="77">
        <v>0.29370000000000002</v>
      </c>
      <c r="BP32" s="77">
        <v>7.2450000000000001</v>
      </c>
      <c r="BQ32" s="77">
        <v>2.6844000000000001</v>
      </c>
      <c r="BR32" s="79"/>
    </row>
    <row r="33" spans="1:70" ht="15" x14ac:dyDescent="0.25">
      <c r="A33" s="74" t="s">
        <v>179</v>
      </c>
      <c r="B33" s="50" t="s">
        <v>93</v>
      </c>
      <c r="C33" s="75" t="s">
        <v>170</v>
      </c>
      <c r="D33" s="76"/>
      <c r="E33" s="71">
        <v>0.23699999999999999</v>
      </c>
      <c r="F33" s="71">
        <v>0</v>
      </c>
      <c r="G33" s="71">
        <v>477.3</v>
      </c>
      <c r="H33" s="71">
        <v>13.484999999999999</v>
      </c>
      <c r="I33" s="71">
        <v>56.19</v>
      </c>
      <c r="J33" s="71">
        <v>7.4219999999999997</v>
      </c>
      <c r="K33" s="71">
        <v>2434.8000000000002</v>
      </c>
      <c r="L33" s="71">
        <v>9162000</v>
      </c>
      <c r="M33" s="71">
        <v>6.4799999999999996E-2</v>
      </c>
      <c r="N33" s="71">
        <v>275.07</v>
      </c>
      <c r="O33" s="71">
        <v>2.367</v>
      </c>
      <c r="P33" s="71">
        <v>6.4799999999999996E-2</v>
      </c>
      <c r="Q33" s="71">
        <v>0.8538</v>
      </c>
      <c r="R33" s="71">
        <v>5.0819999999999999</v>
      </c>
      <c r="S33" s="71">
        <v>7.35</v>
      </c>
      <c r="T33" s="71">
        <v>2665.8</v>
      </c>
      <c r="U33" s="71">
        <v>0.45629999999999998</v>
      </c>
      <c r="V33" s="71">
        <v>1.3902000000000001</v>
      </c>
      <c r="W33" s="71">
        <v>396.6</v>
      </c>
      <c r="X33" s="71">
        <v>1005000</v>
      </c>
      <c r="Y33" s="71">
        <v>0.1026</v>
      </c>
      <c r="Z33" s="71">
        <v>0.16769999999999999</v>
      </c>
      <c r="AA33" s="71">
        <v>19.29</v>
      </c>
      <c r="AB33" s="71">
        <v>156.38999999999999</v>
      </c>
      <c r="AC33" s="71">
        <v>3.5400000000000001E-2</v>
      </c>
      <c r="AD33" s="71">
        <v>2.7881999999999998</v>
      </c>
      <c r="AE33" s="71">
        <v>4.7999999999999996E-3</v>
      </c>
      <c r="AF33" s="71">
        <v>3.1800000000000002E-2</v>
      </c>
      <c r="AG33" s="71">
        <v>0</v>
      </c>
      <c r="AH33" s="71">
        <v>30.12</v>
      </c>
      <c r="AI33" s="71">
        <v>4.7699999999999999E-2</v>
      </c>
      <c r="AJ33" s="71">
        <v>7.7999999999999996E-3</v>
      </c>
      <c r="AK33" s="71">
        <v>0.38940000000000002</v>
      </c>
      <c r="AL33" s="71">
        <v>67.2</v>
      </c>
      <c r="AM33" s="71">
        <v>0.1119</v>
      </c>
      <c r="AN33" s="71">
        <v>9.4799999999999995E-2</v>
      </c>
      <c r="AO33" s="71">
        <v>8.6999999999999994E-3</v>
      </c>
      <c r="AP33" s="71">
        <v>6.3E-3</v>
      </c>
      <c r="AQ33" s="71">
        <v>1.8980999999999999</v>
      </c>
      <c r="AR33" s="71">
        <v>7.4999999999999997E-3</v>
      </c>
      <c r="AS33" s="71">
        <v>2.58E-2</v>
      </c>
      <c r="AT33" s="71">
        <v>3.0000000000000001E-3</v>
      </c>
      <c r="AU33" s="71">
        <v>2.9100000000000001E-2</v>
      </c>
      <c r="AV33" s="71">
        <v>1.5E-3</v>
      </c>
      <c r="AW33" s="71">
        <v>8.9999999999999998E-4</v>
      </c>
      <c r="AX33" s="71">
        <v>-8.9999999999999998E-4</v>
      </c>
      <c r="AY33" s="71">
        <v>8.9999999999999998E-4</v>
      </c>
      <c r="AZ33" s="71">
        <v>4.1999999999999997E-3</v>
      </c>
      <c r="BA33" s="77">
        <v>8.9999999999999998E-4</v>
      </c>
      <c r="BB33" s="77">
        <v>1.1999999999999999E-3</v>
      </c>
      <c r="BC33" s="77">
        <v>8.9999999999999998E-4</v>
      </c>
      <c r="BD33" s="77">
        <v>1.5E-3</v>
      </c>
      <c r="BE33" s="77">
        <v>5.9999999999999995E-4</v>
      </c>
      <c r="BF33" s="77">
        <v>5.9999999999999995E-4</v>
      </c>
      <c r="BG33" s="77">
        <v>2.9999999999999997E-4</v>
      </c>
      <c r="BH33" s="77">
        <v>0.20880000000000001</v>
      </c>
      <c r="BI33" s="77">
        <v>9.06E-2</v>
      </c>
      <c r="BJ33" s="77">
        <v>1.1999999999999999E-3</v>
      </c>
      <c r="BK33" s="77">
        <v>-5.9999999999999995E-4</v>
      </c>
      <c r="BL33" s="77">
        <v>2.7000000000000001E-3</v>
      </c>
      <c r="BM33" s="77">
        <v>0.3765</v>
      </c>
      <c r="BN33" s="77">
        <v>35.340000000000003</v>
      </c>
      <c r="BO33" s="77">
        <v>0.36840000000000001</v>
      </c>
      <c r="BP33" s="77">
        <v>5.2169999999999996</v>
      </c>
      <c r="BQ33" s="77">
        <v>2.6339999999999999</v>
      </c>
      <c r="BR33" s="79"/>
    </row>
    <row r="34" spans="1:70" ht="15" x14ac:dyDescent="0.25">
      <c r="A34" s="74" t="s">
        <v>180</v>
      </c>
      <c r="B34" s="50" t="s">
        <v>94</v>
      </c>
      <c r="C34" s="75" t="s">
        <v>170</v>
      </c>
      <c r="D34" s="76"/>
      <c r="E34" s="71">
        <v>6.6299999999999998E-2</v>
      </c>
      <c r="F34" s="71">
        <v>0</v>
      </c>
      <c r="G34" s="71">
        <v>91.26</v>
      </c>
      <c r="H34" s="71">
        <v>7.734</v>
      </c>
      <c r="I34" s="71">
        <v>93.36</v>
      </c>
      <c r="J34" s="71">
        <v>12.965999999999999</v>
      </c>
      <c r="K34" s="71">
        <v>244.68</v>
      </c>
      <c r="L34" s="71">
        <v>3975000</v>
      </c>
      <c r="M34" s="71">
        <v>0.59040000000000004</v>
      </c>
      <c r="N34" s="71">
        <v>119.4</v>
      </c>
      <c r="O34" s="71">
        <v>-3.4799999999999998E-2</v>
      </c>
      <c r="P34" s="71">
        <v>0.59040000000000004</v>
      </c>
      <c r="Q34" s="71">
        <v>0.62580000000000002</v>
      </c>
      <c r="R34" s="71">
        <v>0.29670000000000002</v>
      </c>
      <c r="S34" s="71">
        <v>0.97950000000000004</v>
      </c>
      <c r="T34" s="71">
        <v>178.89</v>
      </c>
      <c r="U34" s="71">
        <v>4.4400000000000002E-2</v>
      </c>
      <c r="V34" s="71">
        <v>7.8840000000000003</v>
      </c>
      <c r="W34" s="71">
        <v>447600</v>
      </c>
      <c r="X34" s="71">
        <v>831.9</v>
      </c>
      <c r="Y34" s="71">
        <v>2.3699999999999999E-2</v>
      </c>
      <c r="Z34" s="71">
        <v>8.3999999999999995E-3</v>
      </c>
      <c r="AA34" s="71">
        <v>1.1838</v>
      </c>
      <c r="AB34" s="71">
        <v>0.8841</v>
      </c>
      <c r="AC34" s="71">
        <v>9.5999999999999992E-3</v>
      </c>
      <c r="AD34" s="71">
        <v>1.5248999999999999</v>
      </c>
      <c r="AE34" s="71">
        <v>-8.9999999999999998E-4</v>
      </c>
      <c r="AF34" s="71">
        <v>1.4999999999999999E-2</v>
      </c>
      <c r="AG34" s="71">
        <v>0</v>
      </c>
      <c r="AH34" s="71">
        <v>0.64949999999999997</v>
      </c>
      <c r="AI34" s="71">
        <v>0</v>
      </c>
      <c r="AJ34" s="71">
        <v>2.3999999999999998E-3</v>
      </c>
      <c r="AK34" s="71">
        <v>2.7000000000000001E-3</v>
      </c>
      <c r="AL34" s="71">
        <v>53.73</v>
      </c>
      <c r="AM34" s="71">
        <v>0.22800000000000001</v>
      </c>
      <c r="AN34" s="71">
        <v>1.1046</v>
      </c>
      <c r="AO34" s="71">
        <v>0.48180000000000001</v>
      </c>
      <c r="AP34" s="71">
        <v>-1.8E-3</v>
      </c>
      <c r="AQ34" s="71">
        <v>2.8593000000000002</v>
      </c>
      <c r="AR34" s="71">
        <v>0</v>
      </c>
      <c r="AS34" s="71">
        <v>8.9999999999999998E-4</v>
      </c>
      <c r="AT34" s="71">
        <v>0</v>
      </c>
      <c r="AU34" s="71">
        <v>-2.9999999999999997E-4</v>
      </c>
      <c r="AV34" s="71">
        <v>-5.9999999999999995E-4</v>
      </c>
      <c r="AW34" s="71">
        <v>0</v>
      </c>
      <c r="AX34" s="71">
        <v>-2.3999999999999998E-3</v>
      </c>
      <c r="AY34" s="71">
        <v>0</v>
      </c>
      <c r="AZ34" s="71">
        <v>-2.9999999999999997E-4</v>
      </c>
      <c r="BA34" s="77">
        <v>0</v>
      </c>
      <c r="BB34" s="77">
        <v>0</v>
      </c>
      <c r="BC34" s="77">
        <v>0</v>
      </c>
      <c r="BD34" s="77">
        <v>-2.9999999999999997E-4</v>
      </c>
      <c r="BE34" s="77">
        <v>0</v>
      </c>
      <c r="BF34" s="77">
        <v>-2.9999999999999997E-4</v>
      </c>
      <c r="BG34" s="77">
        <v>2.9999999999999997E-4</v>
      </c>
      <c r="BH34" s="77">
        <v>3.9E-2</v>
      </c>
      <c r="BI34" s="77">
        <v>2.9999999999999997E-4</v>
      </c>
      <c r="BJ34" s="77">
        <v>1.5E-3</v>
      </c>
      <c r="BK34" s="77">
        <v>2.9999999999999997E-4</v>
      </c>
      <c r="BL34" s="77">
        <v>-2.9999999999999997E-4</v>
      </c>
      <c r="BM34" s="77">
        <v>8.3999999999999995E-3</v>
      </c>
      <c r="BN34" s="77">
        <v>0.2283</v>
      </c>
      <c r="BO34" s="77">
        <v>80.13</v>
      </c>
      <c r="BP34" s="77">
        <v>-2.7900000000000001E-2</v>
      </c>
      <c r="BQ34" s="77">
        <v>-5.9999999999999995E-4</v>
      </c>
      <c r="BR34" s="79"/>
    </row>
    <row r="35" spans="1:70" ht="15" x14ac:dyDescent="0.25">
      <c r="A35" s="74" t="s">
        <v>180</v>
      </c>
      <c r="B35" s="50" t="s">
        <v>94</v>
      </c>
      <c r="C35" s="75" t="s">
        <v>170</v>
      </c>
      <c r="D35" s="76"/>
      <c r="E35" s="71">
        <v>6.2399999999999997E-2</v>
      </c>
      <c r="F35" s="71">
        <v>0</v>
      </c>
      <c r="G35" s="71">
        <v>84.42</v>
      </c>
      <c r="H35" s="71">
        <v>7.3949999999999996</v>
      </c>
      <c r="I35" s="71">
        <v>87.84</v>
      </c>
      <c r="J35" s="71">
        <v>4.6859999999999999</v>
      </c>
      <c r="K35" s="71">
        <v>235.86</v>
      </c>
      <c r="L35" s="71">
        <v>3402000</v>
      </c>
      <c r="M35" s="71">
        <v>0.61080000000000001</v>
      </c>
      <c r="N35" s="71">
        <v>109.2</v>
      </c>
      <c r="O35" s="71">
        <v>-3.5999999999999997E-2</v>
      </c>
      <c r="P35" s="71">
        <v>0.61080000000000001</v>
      </c>
      <c r="Q35" s="71">
        <v>0.5706</v>
      </c>
      <c r="R35" s="71">
        <v>0.28439999999999999</v>
      </c>
      <c r="S35" s="71">
        <v>0.93989999999999996</v>
      </c>
      <c r="T35" s="71">
        <v>156.03</v>
      </c>
      <c r="U35" s="71">
        <v>4.5900000000000003E-2</v>
      </c>
      <c r="V35" s="71">
        <v>7.7130000000000001</v>
      </c>
      <c r="W35" s="71">
        <v>432000</v>
      </c>
      <c r="X35" s="71">
        <v>532.79999999999995</v>
      </c>
      <c r="Y35" s="71">
        <v>1.9199999999999998E-2</v>
      </c>
      <c r="Z35" s="71">
        <v>1.5E-3</v>
      </c>
      <c r="AA35" s="71">
        <v>1.0662</v>
      </c>
      <c r="AB35" s="71">
        <v>1.0074000000000001</v>
      </c>
      <c r="AC35" s="71">
        <v>6.3E-3</v>
      </c>
      <c r="AD35" s="71">
        <v>1.3581000000000001</v>
      </c>
      <c r="AE35" s="71">
        <v>-8.9999999999999998E-4</v>
      </c>
      <c r="AF35" s="71">
        <v>1.5900000000000001E-2</v>
      </c>
      <c r="AG35" s="71">
        <v>0</v>
      </c>
      <c r="AH35" s="71">
        <v>0.29339999999999999</v>
      </c>
      <c r="AI35" s="71">
        <v>0</v>
      </c>
      <c r="AJ35" s="71">
        <v>2.3999999999999998E-3</v>
      </c>
      <c r="AK35" s="71">
        <v>2.7000000000000001E-3</v>
      </c>
      <c r="AL35" s="71">
        <v>53.67</v>
      </c>
      <c r="AM35" s="71">
        <v>0.20280000000000001</v>
      </c>
      <c r="AN35" s="71">
        <v>1.0824</v>
      </c>
      <c r="AO35" s="71">
        <v>0.31169999999999998</v>
      </c>
      <c r="AP35" s="71">
        <v>-1.5E-3</v>
      </c>
      <c r="AQ35" s="71">
        <v>2.8359000000000001</v>
      </c>
      <c r="AR35" s="71">
        <v>0</v>
      </c>
      <c r="AS35" s="71">
        <v>1.5E-3</v>
      </c>
      <c r="AT35" s="71">
        <v>0</v>
      </c>
      <c r="AU35" s="71">
        <v>0</v>
      </c>
      <c r="AV35" s="71">
        <v>-2.9999999999999997E-4</v>
      </c>
      <c r="AW35" s="71">
        <v>0</v>
      </c>
      <c r="AX35" s="71">
        <v>-2.7000000000000001E-3</v>
      </c>
      <c r="AY35" s="71">
        <v>0</v>
      </c>
      <c r="AZ35" s="71">
        <v>-2.9999999999999997E-4</v>
      </c>
      <c r="BA35" s="77">
        <v>0</v>
      </c>
      <c r="BB35" s="77">
        <v>-2.9999999999999997E-4</v>
      </c>
      <c r="BC35" s="77">
        <v>0</v>
      </c>
      <c r="BD35" s="77">
        <v>-2.9999999999999997E-4</v>
      </c>
      <c r="BE35" s="77">
        <v>0</v>
      </c>
      <c r="BF35" s="77">
        <v>2.9999999999999997E-4</v>
      </c>
      <c r="BG35" s="77">
        <v>5.9999999999999995E-4</v>
      </c>
      <c r="BH35" s="77">
        <v>5.5800000000000002E-2</v>
      </c>
      <c r="BI35" s="77">
        <v>-2.9999999999999997E-4</v>
      </c>
      <c r="BJ35" s="77">
        <v>-8.9999999999999998E-4</v>
      </c>
      <c r="BK35" s="77">
        <v>2.9999999999999997E-4</v>
      </c>
      <c r="BL35" s="77">
        <v>-2.9999999999999997E-4</v>
      </c>
      <c r="BM35" s="77">
        <v>9.2999999999999992E-3</v>
      </c>
      <c r="BN35" s="77">
        <v>0.17580000000000001</v>
      </c>
      <c r="BO35" s="77">
        <v>83.37</v>
      </c>
      <c r="BP35" s="77">
        <v>-2.8199999999999999E-2</v>
      </c>
      <c r="BQ35" s="77">
        <v>-1.5E-3</v>
      </c>
      <c r="BR35" s="79"/>
    </row>
    <row r="36" spans="1:70" ht="15" x14ac:dyDescent="0.25">
      <c r="A36" s="74" t="s">
        <v>180</v>
      </c>
      <c r="B36" s="50" t="s">
        <v>94</v>
      </c>
      <c r="C36" s="75" t="s">
        <v>170</v>
      </c>
      <c r="D36" s="76"/>
      <c r="E36" s="71">
        <v>7.8899999999999998E-2</v>
      </c>
      <c r="F36" s="71">
        <v>0</v>
      </c>
      <c r="G36" s="71">
        <v>80.73</v>
      </c>
      <c r="H36" s="71">
        <v>6.8730000000000002</v>
      </c>
      <c r="I36" s="71">
        <v>89.79</v>
      </c>
      <c r="J36" s="71">
        <v>13.911</v>
      </c>
      <c r="K36" s="71">
        <v>242.64</v>
      </c>
      <c r="L36" s="71">
        <v>3252000</v>
      </c>
      <c r="M36" s="71">
        <v>0.34200000000000003</v>
      </c>
      <c r="N36" s="71">
        <v>103.86</v>
      </c>
      <c r="O36" s="71">
        <v>-3.5099999999999999E-2</v>
      </c>
      <c r="P36" s="71">
        <v>0.34200000000000003</v>
      </c>
      <c r="Q36" s="71">
        <v>0.64200000000000002</v>
      </c>
      <c r="R36" s="71">
        <v>0.32250000000000001</v>
      </c>
      <c r="S36" s="71">
        <v>1.0730999999999999</v>
      </c>
      <c r="T36" s="71">
        <v>148.53</v>
      </c>
      <c r="U36" s="71">
        <v>4.2299999999999997E-2</v>
      </c>
      <c r="V36" s="71">
        <v>7.8479999999999999</v>
      </c>
      <c r="W36" s="71">
        <v>454800</v>
      </c>
      <c r="X36" s="71">
        <v>504.6</v>
      </c>
      <c r="Y36" s="71">
        <v>1.8599999999999998E-2</v>
      </c>
      <c r="Z36" s="71">
        <v>6.3E-3</v>
      </c>
      <c r="AA36" s="71">
        <v>1.1075999999999999</v>
      </c>
      <c r="AB36" s="71">
        <v>1.3794</v>
      </c>
      <c r="AC36" s="71">
        <v>6.3E-3</v>
      </c>
      <c r="AD36" s="71">
        <v>1.5501</v>
      </c>
      <c r="AE36" s="71">
        <v>-8.9999999999999998E-4</v>
      </c>
      <c r="AF36" s="71">
        <v>1.11E-2</v>
      </c>
      <c r="AG36" s="71">
        <v>0</v>
      </c>
      <c r="AH36" s="71">
        <v>0.249</v>
      </c>
      <c r="AI36" s="71">
        <v>0</v>
      </c>
      <c r="AJ36" s="71">
        <v>2.3999999999999998E-3</v>
      </c>
      <c r="AK36" s="71">
        <v>2.0999999999999999E-3</v>
      </c>
      <c r="AL36" s="71">
        <v>58.2</v>
      </c>
      <c r="AM36" s="71">
        <v>0.25679999999999997</v>
      </c>
      <c r="AN36" s="71">
        <v>1.0863</v>
      </c>
      <c r="AO36" s="71">
        <v>0.62849999999999995</v>
      </c>
      <c r="AP36" s="71">
        <v>1.8E-3</v>
      </c>
      <c r="AQ36" s="71">
        <v>2.9133</v>
      </c>
      <c r="AR36" s="71">
        <v>0</v>
      </c>
      <c r="AS36" s="71">
        <v>1.1999999999999999E-3</v>
      </c>
      <c r="AT36" s="71">
        <v>0</v>
      </c>
      <c r="AU36" s="71">
        <v>-2.9999999999999997E-4</v>
      </c>
      <c r="AV36" s="71">
        <v>-5.9999999999999995E-4</v>
      </c>
      <c r="AW36" s="71">
        <v>0</v>
      </c>
      <c r="AX36" s="71">
        <v>-2.7000000000000001E-3</v>
      </c>
      <c r="AY36" s="71">
        <v>0</v>
      </c>
      <c r="AZ36" s="71">
        <v>-2.9999999999999997E-4</v>
      </c>
      <c r="BA36" s="77">
        <v>0</v>
      </c>
      <c r="BB36" s="77">
        <v>0</v>
      </c>
      <c r="BC36" s="77">
        <v>0</v>
      </c>
      <c r="BD36" s="77">
        <v>-2.9999999999999997E-4</v>
      </c>
      <c r="BE36" s="77">
        <v>0</v>
      </c>
      <c r="BF36" s="77">
        <v>-2.9999999999999997E-4</v>
      </c>
      <c r="BG36" s="77">
        <v>2.9999999999999997E-4</v>
      </c>
      <c r="BH36" s="77">
        <v>5.8500000000000003E-2</v>
      </c>
      <c r="BI36" s="77">
        <v>5.9999999999999995E-4</v>
      </c>
      <c r="BJ36" s="77">
        <v>5.1000000000000004E-3</v>
      </c>
      <c r="BK36" s="77">
        <v>2.9999999999999997E-4</v>
      </c>
      <c r="BL36" s="77">
        <v>-2.9999999999999997E-4</v>
      </c>
      <c r="BM36" s="77">
        <v>8.9999999999999993E-3</v>
      </c>
      <c r="BN36" s="77">
        <v>0.19800000000000001</v>
      </c>
      <c r="BO36" s="77">
        <v>93.39</v>
      </c>
      <c r="BP36" s="77">
        <v>-2.8199999999999999E-2</v>
      </c>
      <c r="BQ36" s="77">
        <v>-1.5E-3</v>
      </c>
      <c r="BR36" s="79"/>
    </row>
    <row r="37" spans="1:70" ht="15" x14ac:dyDescent="0.25">
      <c r="A37" s="74" t="s">
        <v>181</v>
      </c>
      <c r="B37" s="50" t="s">
        <v>75</v>
      </c>
      <c r="C37" s="75" t="s">
        <v>170</v>
      </c>
      <c r="D37" s="76"/>
      <c r="E37" s="71">
        <v>1.5705</v>
      </c>
      <c r="F37" s="71">
        <v>1.26E-2</v>
      </c>
      <c r="G37" s="71">
        <v>86.85</v>
      </c>
      <c r="H37" s="71">
        <v>105.21</v>
      </c>
      <c r="I37" s="71">
        <v>571.20000000000005</v>
      </c>
      <c r="J37" s="71">
        <v>185.37</v>
      </c>
      <c r="K37" s="71">
        <v>1779.3</v>
      </c>
      <c r="L37" s="71">
        <v>3840000</v>
      </c>
      <c r="M37" s="71">
        <v>3.15</v>
      </c>
      <c r="N37" s="71">
        <v>1168.8</v>
      </c>
      <c r="O37" s="71">
        <v>0.73199999999999998</v>
      </c>
      <c r="P37" s="71">
        <v>3.15</v>
      </c>
      <c r="Q37" s="71">
        <v>4.1429999999999998</v>
      </c>
      <c r="R37" s="71">
        <v>8.5410000000000004</v>
      </c>
      <c r="S37" s="71">
        <v>41.28</v>
      </c>
      <c r="T37" s="71">
        <v>5883</v>
      </c>
      <c r="U37" s="71">
        <v>4.4130000000000003</v>
      </c>
      <c r="V37" s="71">
        <v>14.141999999999999</v>
      </c>
      <c r="W37" s="71">
        <v>45570</v>
      </c>
      <c r="X37" s="71">
        <v>199470</v>
      </c>
      <c r="Y37" s="71">
        <v>0.1497</v>
      </c>
      <c r="Z37" s="71">
        <v>0.34710000000000002</v>
      </c>
      <c r="AA37" s="71">
        <v>52.14</v>
      </c>
      <c r="AB37" s="71">
        <v>23.922000000000001</v>
      </c>
      <c r="AC37" s="71">
        <v>0.1134</v>
      </c>
      <c r="AD37" s="71">
        <v>6.7320000000000002</v>
      </c>
      <c r="AE37" s="71">
        <v>0.2742</v>
      </c>
      <c r="AF37" s="71">
        <v>0.74339999999999995</v>
      </c>
      <c r="AG37" s="71">
        <v>0</v>
      </c>
      <c r="AH37" s="71">
        <v>10.013999999999999</v>
      </c>
      <c r="AI37" s="71">
        <v>4.7999999999999996E-3</v>
      </c>
      <c r="AJ37" s="71">
        <v>5.1000000000000004E-3</v>
      </c>
      <c r="AK37" s="71">
        <v>0.1452</v>
      </c>
      <c r="AL37" s="71">
        <v>30.42</v>
      </c>
      <c r="AM37" s="71">
        <v>0.12989999999999999</v>
      </c>
      <c r="AN37" s="71">
        <v>0.32219999999999999</v>
      </c>
      <c r="AO37" s="71">
        <v>3.3E-3</v>
      </c>
      <c r="AP37" s="71">
        <v>4.1999999999999997E-3</v>
      </c>
      <c r="AQ37" s="71">
        <v>24.728999999999999</v>
      </c>
      <c r="AR37" s="71">
        <v>0.40110000000000001</v>
      </c>
      <c r="AS37" s="71">
        <v>0.84299999999999997</v>
      </c>
      <c r="AT37" s="71">
        <v>9.6299999999999997E-2</v>
      </c>
      <c r="AU37" s="71">
        <v>0.44130000000000003</v>
      </c>
      <c r="AV37" s="71">
        <v>6.7199999999999996E-2</v>
      </c>
      <c r="AW37" s="71">
        <v>1.17E-2</v>
      </c>
      <c r="AX37" s="71">
        <v>5.7599999999999998E-2</v>
      </c>
      <c r="AY37" s="71">
        <v>8.0999999999999996E-3</v>
      </c>
      <c r="AZ37" s="71">
        <v>5.3400000000000003E-2</v>
      </c>
      <c r="BA37" s="77">
        <v>9.2999999999999992E-3</v>
      </c>
      <c r="BB37" s="77">
        <v>2.4299999999999999E-2</v>
      </c>
      <c r="BC37" s="77">
        <v>3.3E-3</v>
      </c>
      <c r="BD37" s="77">
        <v>1.9800000000000002E-2</v>
      </c>
      <c r="BE37" s="77">
        <v>2.7000000000000001E-3</v>
      </c>
      <c r="BF37" s="77">
        <v>1.41E-2</v>
      </c>
      <c r="BG37" s="77">
        <v>2.9999999999999997E-4</v>
      </c>
      <c r="BH37" s="77">
        <v>0.6069</v>
      </c>
      <c r="BI37" s="77">
        <v>5.1000000000000004E-3</v>
      </c>
      <c r="BJ37" s="77">
        <v>-2.9999999999999997E-4</v>
      </c>
      <c r="BK37" s="77">
        <v>-5.9999999999999995E-4</v>
      </c>
      <c r="BL37" s="77">
        <v>1.8E-3</v>
      </c>
      <c r="BM37" s="77">
        <v>5.79</v>
      </c>
      <c r="BN37" s="77">
        <v>8.7780000000000005</v>
      </c>
      <c r="BO37" s="77">
        <v>0.27450000000000002</v>
      </c>
      <c r="BP37" s="77">
        <v>4.827</v>
      </c>
      <c r="BQ37" s="77">
        <v>2.5629</v>
      </c>
      <c r="BR37" s="79"/>
    </row>
    <row r="38" spans="1:70" ht="15" x14ac:dyDescent="0.25">
      <c r="A38" s="74" t="s">
        <v>181</v>
      </c>
      <c r="B38" s="50" t="s">
        <v>75</v>
      </c>
      <c r="C38" s="75" t="s">
        <v>170</v>
      </c>
      <c r="D38" s="76"/>
      <c r="E38" s="71">
        <v>1.677</v>
      </c>
      <c r="F38" s="71">
        <v>1.9800000000000002E-2</v>
      </c>
      <c r="G38" s="71">
        <v>89.67</v>
      </c>
      <c r="H38" s="71">
        <v>116.43</v>
      </c>
      <c r="I38" s="71">
        <v>632.4</v>
      </c>
      <c r="J38" s="71">
        <v>207.3</v>
      </c>
      <c r="K38" s="71">
        <v>1830</v>
      </c>
      <c r="L38" s="71">
        <v>4053000</v>
      </c>
      <c r="M38" s="71">
        <v>3.3479999999999999</v>
      </c>
      <c r="N38" s="71">
        <v>1208.0999999999999</v>
      </c>
      <c r="O38" s="71">
        <v>0.46439999999999998</v>
      </c>
      <c r="P38" s="71">
        <v>3.3479999999999999</v>
      </c>
      <c r="Q38" s="71">
        <v>4.4969999999999999</v>
      </c>
      <c r="R38" s="71">
        <v>9.3689999999999998</v>
      </c>
      <c r="S38" s="71">
        <v>45.3</v>
      </c>
      <c r="T38" s="71">
        <v>6132</v>
      </c>
      <c r="U38" s="71">
        <v>4.8689999999999998</v>
      </c>
      <c r="V38" s="71">
        <v>15.573</v>
      </c>
      <c r="W38" s="71">
        <v>50190</v>
      </c>
      <c r="X38" s="71">
        <v>218790</v>
      </c>
      <c r="Y38" s="71">
        <v>0.16439999999999999</v>
      </c>
      <c r="Z38" s="71">
        <v>0.37440000000000001</v>
      </c>
      <c r="AA38" s="71">
        <v>55.02</v>
      </c>
      <c r="AB38" s="71">
        <v>27.417000000000002</v>
      </c>
      <c r="AC38" s="71">
        <v>0.1158</v>
      </c>
      <c r="AD38" s="71">
        <v>7.3979999999999997</v>
      </c>
      <c r="AE38" s="71">
        <v>0.34560000000000002</v>
      </c>
      <c r="AF38" s="71">
        <v>0.79110000000000003</v>
      </c>
      <c r="AG38" s="71">
        <v>0</v>
      </c>
      <c r="AH38" s="71">
        <v>11.231999999999999</v>
      </c>
      <c r="AI38" s="71">
        <v>4.4999999999999997E-3</v>
      </c>
      <c r="AJ38" s="71">
        <v>6.8999999999999999E-3</v>
      </c>
      <c r="AK38" s="71">
        <v>0.1101</v>
      </c>
      <c r="AL38" s="71">
        <v>33.36</v>
      </c>
      <c r="AM38" s="71">
        <v>0.14549999999999999</v>
      </c>
      <c r="AN38" s="71">
        <v>0.33329999999999999</v>
      </c>
      <c r="AO38" s="71">
        <v>4.7999999999999996E-3</v>
      </c>
      <c r="AP38" s="71">
        <v>7.1999999999999998E-3</v>
      </c>
      <c r="AQ38" s="71">
        <v>26.565000000000001</v>
      </c>
      <c r="AR38" s="71">
        <v>0.49409999999999998</v>
      </c>
      <c r="AS38" s="71">
        <v>1.0356000000000001</v>
      </c>
      <c r="AT38" s="71">
        <v>0.1179</v>
      </c>
      <c r="AU38" s="71">
        <v>0.54359999999999997</v>
      </c>
      <c r="AV38" s="71">
        <v>7.8600000000000003E-2</v>
      </c>
      <c r="AW38" s="71">
        <v>1.5299999999999999E-2</v>
      </c>
      <c r="AX38" s="71">
        <v>7.3800000000000004E-2</v>
      </c>
      <c r="AY38" s="71">
        <v>1.0200000000000001E-2</v>
      </c>
      <c r="AZ38" s="71">
        <v>6.4199999999999993E-2</v>
      </c>
      <c r="BA38" s="77">
        <v>1.14E-2</v>
      </c>
      <c r="BB38" s="77">
        <v>2.9700000000000001E-2</v>
      </c>
      <c r="BC38" s="77">
        <v>3.8999999999999998E-3</v>
      </c>
      <c r="BD38" s="77">
        <v>2.58E-2</v>
      </c>
      <c r="BE38" s="77">
        <v>3.3E-3</v>
      </c>
      <c r="BF38" s="77">
        <v>1.47E-2</v>
      </c>
      <c r="BG38" s="77">
        <v>0</v>
      </c>
      <c r="BH38" s="77">
        <v>0.72689999999999999</v>
      </c>
      <c r="BI38" s="77">
        <v>5.7000000000000002E-3</v>
      </c>
      <c r="BJ38" s="77">
        <v>-5.9999999999999995E-4</v>
      </c>
      <c r="BK38" s="77">
        <v>-5.9999999999999995E-4</v>
      </c>
      <c r="BL38" s="77">
        <v>1.5E-3</v>
      </c>
      <c r="BM38" s="77">
        <v>7.1159999999999997</v>
      </c>
      <c r="BN38" s="77">
        <v>9.9149999999999991</v>
      </c>
      <c r="BO38" s="77">
        <v>0.31319999999999998</v>
      </c>
      <c r="BP38" s="77">
        <v>4.3380000000000001</v>
      </c>
      <c r="BQ38" s="77">
        <v>3.1349999999999998</v>
      </c>
      <c r="BR38" s="79"/>
    </row>
    <row r="39" spans="1:70" ht="15" x14ac:dyDescent="0.25">
      <c r="A39" s="74" t="s">
        <v>181</v>
      </c>
      <c r="B39" s="50" t="s">
        <v>75</v>
      </c>
      <c r="C39" s="75" t="s">
        <v>170</v>
      </c>
      <c r="D39" s="76"/>
      <c r="E39" s="71">
        <v>1.6298999999999999</v>
      </c>
      <c r="F39" s="71">
        <v>2.1299999999999999E-2</v>
      </c>
      <c r="G39" s="71">
        <v>88.44</v>
      </c>
      <c r="H39" s="71">
        <v>113.34</v>
      </c>
      <c r="I39" s="71">
        <v>621.6</v>
      </c>
      <c r="J39" s="71">
        <v>203.25</v>
      </c>
      <c r="K39" s="71">
        <v>1821.6</v>
      </c>
      <c r="L39" s="71">
        <v>4020000</v>
      </c>
      <c r="M39" s="71">
        <v>3.327</v>
      </c>
      <c r="N39" s="71">
        <v>1186.2</v>
      </c>
      <c r="O39" s="71">
        <v>0.30299999999999999</v>
      </c>
      <c r="P39" s="71">
        <v>3.327</v>
      </c>
      <c r="Q39" s="71">
        <v>4.4489999999999998</v>
      </c>
      <c r="R39" s="71">
        <v>9.1470000000000002</v>
      </c>
      <c r="S39" s="71">
        <v>44.34</v>
      </c>
      <c r="T39" s="71">
        <v>6138</v>
      </c>
      <c r="U39" s="71">
        <v>4.7549999999999999</v>
      </c>
      <c r="V39" s="71">
        <v>15.353999999999999</v>
      </c>
      <c r="W39" s="71">
        <v>49920</v>
      </c>
      <c r="X39" s="71">
        <v>216180</v>
      </c>
      <c r="Y39" s="71">
        <v>0.16769999999999999</v>
      </c>
      <c r="Z39" s="71">
        <v>0.35070000000000001</v>
      </c>
      <c r="AA39" s="71">
        <v>54.48</v>
      </c>
      <c r="AB39" s="71">
        <v>25.872</v>
      </c>
      <c r="AC39" s="71">
        <v>0.1176</v>
      </c>
      <c r="AD39" s="71">
        <v>7.3920000000000003</v>
      </c>
      <c r="AE39" s="71">
        <v>0.33929999999999999</v>
      </c>
      <c r="AF39" s="71">
        <v>0.77880000000000005</v>
      </c>
      <c r="AG39" s="71">
        <v>0</v>
      </c>
      <c r="AH39" s="71">
        <v>11.295</v>
      </c>
      <c r="AI39" s="71">
        <v>3.8999999999999998E-3</v>
      </c>
      <c r="AJ39" s="71">
        <v>6.8999999999999999E-3</v>
      </c>
      <c r="AK39" s="71">
        <v>9.2399999999999996E-2</v>
      </c>
      <c r="AL39" s="71">
        <v>33.36</v>
      </c>
      <c r="AM39" s="71">
        <v>0.14760000000000001</v>
      </c>
      <c r="AN39" s="71">
        <v>0.35039999999999999</v>
      </c>
      <c r="AO39" s="71">
        <v>1.8E-3</v>
      </c>
      <c r="AP39" s="71">
        <v>7.7999999999999996E-3</v>
      </c>
      <c r="AQ39" s="71">
        <v>26.946000000000002</v>
      </c>
      <c r="AR39" s="71">
        <v>0.47399999999999998</v>
      </c>
      <c r="AS39" s="71">
        <v>0.99690000000000001</v>
      </c>
      <c r="AT39" s="71">
        <v>0.1143</v>
      </c>
      <c r="AU39" s="71">
        <v>0.52349999999999997</v>
      </c>
      <c r="AV39" s="71">
        <v>7.7700000000000005E-2</v>
      </c>
      <c r="AW39" s="71">
        <v>1.44E-2</v>
      </c>
      <c r="AX39" s="71">
        <v>6.93E-2</v>
      </c>
      <c r="AY39" s="71">
        <v>9.5999999999999992E-3</v>
      </c>
      <c r="AZ39" s="71">
        <v>6.2100000000000002E-2</v>
      </c>
      <c r="BA39" s="77">
        <v>1.14E-2</v>
      </c>
      <c r="BB39" s="77">
        <v>2.9100000000000001E-2</v>
      </c>
      <c r="BC39" s="77">
        <v>3.8999999999999998E-3</v>
      </c>
      <c r="BD39" s="77">
        <v>2.52E-2</v>
      </c>
      <c r="BE39" s="77">
        <v>3.3E-3</v>
      </c>
      <c r="BF39" s="77">
        <v>1.5299999999999999E-2</v>
      </c>
      <c r="BG39" s="77">
        <v>2.9999999999999997E-4</v>
      </c>
      <c r="BH39" s="77">
        <v>0.75029999999999997</v>
      </c>
      <c r="BI39" s="77">
        <v>5.4000000000000003E-3</v>
      </c>
      <c r="BJ39" s="77">
        <v>-2.9999999999999997E-4</v>
      </c>
      <c r="BK39" s="77">
        <v>-5.9999999999999995E-4</v>
      </c>
      <c r="BL39" s="77">
        <v>1.1999999999999999E-3</v>
      </c>
      <c r="BM39" s="77">
        <v>6.9509999999999996</v>
      </c>
      <c r="BN39" s="77">
        <v>10.281000000000001</v>
      </c>
      <c r="BO39" s="77">
        <v>0.32250000000000001</v>
      </c>
      <c r="BP39" s="77">
        <v>3.54</v>
      </c>
      <c r="BQ39" s="77">
        <v>3.09</v>
      </c>
      <c r="BR39" s="79"/>
    </row>
    <row r="40" spans="1:70" ht="15" x14ac:dyDescent="0.25">
      <c r="A40" s="74" t="s">
        <v>182</v>
      </c>
      <c r="B40" s="50" t="s">
        <v>95</v>
      </c>
      <c r="C40" s="75" t="s">
        <v>170</v>
      </c>
      <c r="D40" s="76"/>
      <c r="E40" s="71">
        <v>0.20300000000000001</v>
      </c>
      <c r="F40" s="71">
        <v>0</v>
      </c>
      <c r="G40" s="71">
        <v>173.32</v>
      </c>
      <c r="H40" s="71">
        <v>2.8056000000000001</v>
      </c>
      <c r="I40" s="71">
        <v>48356</v>
      </c>
      <c r="J40" s="71">
        <v>0.98</v>
      </c>
      <c r="K40" s="71">
        <v>188.3</v>
      </c>
      <c r="L40" s="71">
        <v>3623200</v>
      </c>
      <c r="M40" s="71">
        <v>2.5158</v>
      </c>
      <c r="N40" s="71">
        <v>159.6</v>
      </c>
      <c r="O40" s="71">
        <v>-7.4200000000000002E-2</v>
      </c>
      <c r="P40" s="71">
        <v>2.5158</v>
      </c>
      <c r="Q40" s="71">
        <v>5.7245999999999997</v>
      </c>
      <c r="R40" s="71">
        <v>0.36820000000000003</v>
      </c>
      <c r="S40" s="71">
        <v>0.36820000000000003</v>
      </c>
      <c r="T40" s="71">
        <v>671.58</v>
      </c>
      <c r="U40" s="71">
        <v>5.3199999999999997E-2</v>
      </c>
      <c r="V40" s="71">
        <v>1.7751999999999999</v>
      </c>
      <c r="W40" s="71">
        <v>168.42</v>
      </c>
      <c r="X40" s="71">
        <v>42.167999999999999</v>
      </c>
      <c r="Y40" s="71">
        <v>51.771999999999998</v>
      </c>
      <c r="Z40" s="71">
        <v>0.1288</v>
      </c>
      <c r="AA40" s="71">
        <v>0.30940000000000001</v>
      </c>
      <c r="AB40" s="71">
        <v>-0.35560000000000003</v>
      </c>
      <c r="AC40" s="71">
        <v>1.9599999999999999E-2</v>
      </c>
      <c r="AD40" s="71">
        <v>8.9599999999999999E-2</v>
      </c>
      <c r="AE40" s="71">
        <v>7.0000000000000001E-3</v>
      </c>
      <c r="AF40" s="71">
        <v>0.17219999999999999</v>
      </c>
      <c r="AG40" s="71">
        <v>0</v>
      </c>
      <c r="AH40" s="71">
        <v>7.4200000000000002E-2</v>
      </c>
      <c r="AI40" s="71">
        <v>-1.4E-3</v>
      </c>
      <c r="AJ40" s="71">
        <v>1.4E-3</v>
      </c>
      <c r="AK40" s="71">
        <v>-4.1999999999999997E-3</v>
      </c>
      <c r="AL40" s="71">
        <v>-0.434</v>
      </c>
      <c r="AM40" s="71">
        <v>-1.4E-2</v>
      </c>
      <c r="AN40" s="71">
        <v>0</v>
      </c>
      <c r="AO40" s="71">
        <v>-6.7199999999999996E-2</v>
      </c>
      <c r="AP40" s="71">
        <v>-2.52E-2</v>
      </c>
      <c r="AQ40" s="71">
        <v>5.25</v>
      </c>
      <c r="AR40" s="71">
        <v>0.6804</v>
      </c>
      <c r="AS40" s="71">
        <v>9.9400000000000002E-2</v>
      </c>
      <c r="AT40" s="71">
        <v>4.1999999999999997E-3</v>
      </c>
      <c r="AU40" s="71">
        <v>3.0800000000000001E-2</v>
      </c>
      <c r="AV40" s="71">
        <v>4.1999999999999997E-3</v>
      </c>
      <c r="AW40" s="71">
        <v>1.4E-3</v>
      </c>
      <c r="AX40" s="71">
        <v>-4.1999999999999997E-3</v>
      </c>
      <c r="AY40" s="71">
        <v>0</v>
      </c>
      <c r="AZ40" s="71">
        <v>2.8E-3</v>
      </c>
      <c r="BA40" s="77">
        <v>0</v>
      </c>
      <c r="BB40" s="77">
        <v>4.1999999999999997E-3</v>
      </c>
      <c r="BC40" s="77">
        <v>0</v>
      </c>
      <c r="BD40" s="77">
        <v>1.4E-3</v>
      </c>
      <c r="BE40" s="77">
        <v>0</v>
      </c>
      <c r="BF40" s="77">
        <v>1.4E-3</v>
      </c>
      <c r="BG40" s="77">
        <v>0</v>
      </c>
      <c r="BH40" s="77">
        <v>-0.13300000000000001</v>
      </c>
      <c r="BI40" s="77">
        <v>-1.4E-3</v>
      </c>
      <c r="BJ40" s="77">
        <v>-2.8E-3</v>
      </c>
      <c r="BK40" s="77">
        <v>-4.1999999999999997E-3</v>
      </c>
      <c r="BL40" s="77">
        <v>5.5999999999999999E-3</v>
      </c>
      <c r="BM40" s="77">
        <v>7.5600000000000001E-2</v>
      </c>
      <c r="BN40" s="77">
        <v>-4.3400000000000001E-2</v>
      </c>
      <c r="BO40" s="77">
        <v>7.0000000000000001E-3</v>
      </c>
      <c r="BP40" s="77">
        <v>-0.105</v>
      </c>
      <c r="BQ40" s="77">
        <v>8.6800000000000002E-2</v>
      </c>
      <c r="BR40" s="79"/>
    </row>
    <row r="41" spans="1:70" ht="15" x14ac:dyDescent="0.25">
      <c r="A41" s="74" t="s">
        <v>182</v>
      </c>
      <c r="B41" s="50" t="s">
        <v>95</v>
      </c>
      <c r="C41" s="75" t="s">
        <v>170</v>
      </c>
      <c r="D41" s="76"/>
      <c r="E41" s="71">
        <v>4.3400000000000001E-2</v>
      </c>
      <c r="F41" s="71">
        <v>0</v>
      </c>
      <c r="G41" s="71">
        <v>174.02</v>
      </c>
      <c r="H41" s="71">
        <v>3.4691999999999998</v>
      </c>
      <c r="I41" s="71">
        <v>50568</v>
      </c>
      <c r="J41" s="71">
        <v>-1.2012</v>
      </c>
      <c r="K41" s="71">
        <v>16.295999999999999</v>
      </c>
      <c r="L41" s="71">
        <v>3834600</v>
      </c>
      <c r="M41" s="71">
        <v>2.8056000000000001</v>
      </c>
      <c r="N41" s="71">
        <v>180.74</v>
      </c>
      <c r="O41" s="71">
        <v>-0.112</v>
      </c>
      <c r="P41" s="71">
        <v>2.8056000000000001</v>
      </c>
      <c r="Q41" s="71">
        <v>6.1894</v>
      </c>
      <c r="R41" s="71">
        <v>0.41299999999999998</v>
      </c>
      <c r="S41" s="71">
        <v>0.42420000000000002</v>
      </c>
      <c r="T41" s="71">
        <v>719.18</v>
      </c>
      <c r="U41" s="71">
        <v>6.3E-2</v>
      </c>
      <c r="V41" s="71">
        <v>1.7696000000000001</v>
      </c>
      <c r="W41" s="71">
        <v>43.75</v>
      </c>
      <c r="X41" s="71">
        <v>18.228000000000002</v>
      </c>
      <c r="Y41" s="71">
        <v>54.53</v>
      </c>
      <c r="Z41" s="71">
        <v>5.5999999999999999E-3</v>
      </c>
      <c r="AA41" s="71">
        <v>0.23799999999999999</v>
      </c>
      <c r="AB41" s="71">
        <v>-0.2366</v>
      </c>
      <c r="AC41" s="71">
        <v>1.8200000000000001E-2</v>
      </c>
      <c r="AD41" s="71">
        <v>8.8200000000000001E-2</v>
      </c>
      <c r="AE41" s="71">
        <v>7.0000000000000001E-3</v>
      </c>
      <c r="AF41" s="71">
        <v>0.21560000000000001</v>
      </c>
      <c r="AG41" s="71">
        <v>0</v>
      </c>
      <c r="AH41" s="71">
        <v>7.5600000000000001E-2</v>
      </c>
      <c r="AI41" s="71">
        <v>-1.4E-3</v>
      </c>
      <c r="AJ41" s="71">
        <v>0</v>
      </c>
      <c r="AK41" s="71">
        <v>1.4E-3</v>
      </c>
      <c r="AL41" s="71">
        <v>-0.6986</v>
      </c>
      <c r="AM41" s="71">
        <v>-1.4E-2</v>
      </c>
      <c r="AN41" s="71">
        <v>-4.1999999999999997E-3</v>
      </c>
      <c r="AO41" s="71">
        <v>-4.3400000000000001E-2</v>
      </c>
      <c r="AP41" s="71">
        <v>-2.52E-2</v>
      </c>
      <c r="AQ41" s="71">
        <v>5.4025999999999996</v>
      </c>
      <c r="AR41" s="71">
        <v>0.84279999999999999</v>
      </c>
      <c r="AS41" s="71">
        <v>0.12740000000000001</v>
      </c>
      <c r="AT41" s="71">
        <v>9.7999999999999997E-3</v>
      </c>
      <c r="AU41" s="71">
        <v>2.3800000000000002E-2</v>
      </c>
      <c r="AV41" s="71">
        <v>0</v>
      </c>
      <c r="AW41" s="71">
        <v>0</v>
      </c>
      <c r="AX41" s="71">
        <v>0</v>
      </c>
      <c r="AY41" s="71">
        <v>0</v>
      </c>
      <c r="AZ41" s="71">
        <v>4.1999999999999997E-3</v>
      </c>
      <c r="BA41" s="77">
        <v>0</v>
      </c>
      <c r="BB41" s="77">
        <v>4.1999999999999997E-3</v>
      </c>
      <c r="BC41" s="77">
        <v>1.4E-3</v>
      </c>
      <c r="BD41" s="77">
        <v>1.4E-3</v>
      </c>
      <c r="BE41" s="77">
        <v>0</v>
      </c>
      <c r="BF41" s="77">
        <v>2.8E-3</v>
      </c>
      <c r="BG41" s="77">
        <v>0</v>
      </c>
      <c r="BH41" s="77">
        <v>-0.13300000000000001</v>
      </c>
      <c r="BI41" s="77">
        <v>-2.8E-3</v>
      </c>
      <c r="BJ41" s="77">
        <v>-2.8E-3</v>
      </c>
      <c r="BK41" s="77">
        <v>-4.1999999999999997E-3</v>
      </c>
      <c r="BL41" s="77">
        <v>0</v>
      </c>
      <c r="BM41" s="77">
        <v>4.7600000000000003E-2</v>
      </c>
      <c r="BN41" s="77">
        <v>-5.3199999999999997E-2</v>
      </c>
      <c r="BO41" s="77">
        <v>-0.1106</v>
      </c>
      <c r="BP41" s="77">
        <v>-6.5799999999999997E-2</v>
      </c>
      <c r="BQ41" s="77">
        <v>0.1134</v>
      </c>
      <c r="BR41" s="79"/>
    </row>
    <row r="42" spans="1:70" ht="15" x14ac:dyDescent="0.25">
      <c r="A42" s="74" t="s">
        <v>182</v>
      </c>
      <c r="B42" s="50" t="s">
        <v>95</v>
      </c>
      <c r="C42" s="75" t="s">
        <v>170</v>
      </c>
      <c r="D42" s="76"/>
      <c r="E42" s="71">
        <v>0.252</v>
      </c>
      <c r="F42" s="71">
        <v>0</v>
      </c>
      <c r="G42" s="71">
        <v>168.84</v>
      </c>
      <c r="H42" s="71">
        <v>3.2564000000000002</v>
      </c>
      <c r="I42" s="71">
        <v>49532</v>
      </c>
      <c r="J42" s="71">
        <v>-1.7430000000000001</v>
      </c>
      <c r="K42" s="71">
        <v>189.56</v>
      </c>
      <c r="L42" s="71">
        <v>3759000</v>
      </c>
      <c r="M42" s="71">
        <v>2.8182</v>
      </c>
      <c r="N42" s="71">
        <v>171.22</v>
      </c>
      <c r="O42" s="71">
        <v>-5.74E-2</v>
      </c>
      <c r="P42" s="71">
        <v>2.8182</v>
      </c>
      <c r="Q42" s="71">
        <v>6.0144000000000002</v>
      </c>
      <c r="R42" s="71">
        <v>0.39900000000000002</v>
      </c>
      <c r="S42" s="71">
        <v>0.41860000000000003</v>
      </c>
      <c r="T42" s="71">
        <v>693.7</v>
      </c>
      <c r="U42" s="71">
        <v>5.3199999999999997E-2</v>
      </c>
      <c r="V42" s="71">
        <v>1.7836000000000001</v>
      </c>
      <c r="W42" s="71">
        <v>21.7</v>
      </c>
      <c r="X42" s="71">
        <v>16.66</v>
      </c>
      <c r="Y42" s="71">
        <v>51.478000000000002</v>
      </c>
      <c r="Z42" s="71">
        <v>1.4E-2</v>
      </c>
      <c r="AA42" s="71">
        <v>0.13020000000000001</v>
      </c>
      <c r="AB42" s="71">
        <v>-0.35560000000000003</v>
      </c>
      <c r="AC42" s="71">
        <v>1.12E-2</v>
      </c>
      <c r="AD42" s="71">
        <v>0.10639999999999999</v>
      </c>
      <c r="AE42" s="71">
        <v>1.4E-2</v>
      </c>
      <c r="AF42" s="71">
        <v>0.20860000000000001</v>
      </c>
      <c r="AG42" s="71">
        <v>0</v>
      </c>
      <c r="AH42" s="71">
        <v>7.1400000000000005E-2</v>
      </c>
      <c r="AI42" s="71">
        <v>-1.4E-3</v>
      </c>
      <c r="AJ42" s="71">
        <v>0</v>
      </c>
      <c r="AK42" s="71">
        <v>4.1999999999999997E-3</v>
      </c>
      <c r="AL42" s="71">
        <v>-0.77280000000000004</v>
      </c>
      <c r="AM42" s="71">
        <v>-1.4E-2</v>
      </c>
      <c r="AN42" s="71">
        <v>-8.3999999999999995E-3</v>
      </c>
      <c r="AO42" s="71">
        <v>-4.48E-2</v>
      </c>
      <c r="AP42" s="71">
        <v>-2.52E-2</v>
      </c>
      <c r="AQ42" s="71">
        <v>5.0343999999999998</v>
      </c>
      <c r="AR42" s="71">
        <v>0.89600000000000002</v>
      </c>
      <c r="AS42" s="71">
        <v>0.1148</v>
      </c>
      <c r="AT42" s="71">
        <v>9.7999999999999997E-3</v>
      </c>
      <c r="AU42" s="71">
        <v>2.24E-2</v>
      </c>
      <c r="AV42" s="71">
        <v>8.3999999999999995E-3</v>
      </c>
      <c r="AW42" s="71">
        <v>1.4E-3</v>
      </c>
      <c r="AX42" s="71">
        <v>-5.5999999999999999E-3</v>
      </c>
      <c r="AY42" s="71">
        <v>1.4E-3</v>
      </c>
      <c r="AZ42" s="71">
        <v>7.0000000000000001E-3</v>
      </c>
      <c r="BA42" s="77">
        <v>2.8E-3</v>
      </c>
      <c r="BB42" s="77">
        <v>1.4E-3</v>
      </c>
      <c r="BC42" s="77">
        <v>0</v>
      </c>
      <c r="BD42" s="77">
        <v>0</v>
      </c>
      <c r="BE42" s="77">
        <v>0</v>
      </c>
      <c r="BF42" s="77">
        <v>4.1999999999999997E-3</v>
      </c>
      <c r="BG42" s="77">
        <v>0</v>
      </c>
      <c r="BH42" s="77">
        <v>-0.13020000000000001</v>
      </c>
      <c r="BI42" s="77">
        <v>-2.8E-3</v>
      </c>
      <c r="BJ42" s="77">
        <v>-2.8E-3</v>
      </c>
      <c r="BK42" s="77">
        <v>-4.1999999999999997E-3</v>
      </c>
      <c r="BL42" s="77">
        <v>1.4E-3</v>
      </c>
      <c r="BM42" s="77">
        <v>3.3599999999999998E-2</v>
      </c>
      <c r="BN42" s="77">
        <v>-5.3199999999999997E-2</v>
      </c>
      <c r="BO42" s="77">
        <v>-0.1176</v>
      </c>
      <c r="BP42" s="77">
        <v>-5.04E-2</v>
      </c>
      <c r="BQ42" s="77">
        <v>0.1162</v>
      </c>
      <c r="BR42" s="79"/>
    </row>
    <row r="43" spans="1:70" ht="15" x14ac:dyDescent="0.25">
      <c r="A43" s="74" t="s">
        <v>183</v>
      </c>
      <c r="B43" s="50" t="s">
        <v>96</v>
      </c>
      <c r="C43" s="75" t="s">
        <v>170</v>
      </c>
      <c r="D43" s="76"/>
      <c r="E43" s="71">
        <v>0.46839999999999998</v>
      </c>
      <c r="F43" s="71">
        <v>0.1452</v>
      </c>
      <c r="G43" s="71">
        <v>323.48</v>
      </c>
      <c r="H43" s="71">
        <v>149.84</v>
      </c>
      <c r="I43" s="71">
        <v>760.8</v>
      </c>
      <c r="J43" s="71">
        <v>31.456</v>
      </c>
      <c r="K43" s="71">
        <v>3712.8</v>
      </c>
      <c r="L43" s="71">
        <v>1674400</v>
      </c>
      <c r="M43" s="71">
        <v>44.92</v>
      </c>
      <c r="N43" s="71">
        <v>530</v>
      </c>
      <c r="O43" s="71">
        <v>0.66200000000000003</v>
      </c>
      <c r="P43" s="71">
        <v>44.92</v>
      </c>
      <c r="Q43" s="71">
        <v>0.65400000000000003</v>
      </c>
      <c r="R43" s="71">
        <v>0.1976</v>
      </c>
      <c r="S43" s="71">
        <v>82.36</v>
      </c>
      <c r="T43" s="71">
        <v>249.84</v>
      </c>
      <c r="U43" s="71">
        <v>1.3540000000000001</v>
      </c>
      <c r="V43" s="71">
        <v>2.9712000000000001</v>
      </c>
      <c r="W43" s="71">
        <v>78.08</v>
      </c>
      <c r="X43" s="71">
        <v>139.36000000000001</v>
      </c>
      <c r="Y43" s="71">
        <v>0.05</v>
      </c>
      <c r="Z43" s="71">
        <v>4.7600000000000003E-2</v>
      </c>
      <c r="AA43" s="71">
        <v>0.54159999999999997</v>
      </c>
      <c r="AB43" s="71">
        <v>1.3384</v>
      </c>
      <c r="AC43" s="71">
        <v>3.4000000000000002E-2</v>
      </c>
      <c r="AD43" s="71">
        <v>30.524000000000001</v>
      </c>
      <c r="AE43" s="71">
        <v>1.8144</v>
      </c>
      <c r="AF43" s="71">
        <v>1.6412</v>
      </c>
      <c r="AG43" s="71">
        <v>0</v>
      </c>
      <c r="AH43" s="71">
        <v>0.29959999999999998</v>
      </c>
      <c r="AI43" s="71">
        <v>-4.0000000000000002E-4</v>
      </c>
      <c r="AJ43" s="71">
        <v>4.0000000000000002E-4</v>
      </c>
      <c r="AK43" s="71">
        <v>4.2000000000000003E-2</v>
      </c>
      <c r="AL43" s="71">
        <v>0.158</v>
      </c>
      <c r="AM43" s="71">
        <v>5.5999999999999999E-3</v>
      </c>
      <c r="AN43" s="71">
        <v>1.4E-2</v>
      </c>
      <c r="AO43" s="71">
        <v>-1.9199999999999998E-2</v>
      </c>
      <c r="AP43" s="71">
        <v>-2.8E-3</v>
      </c>
      <c r="AQ43" s="71">
        <v>6.74</v>
      </c>
      <c r="AR43" s="71">
        <v>1.3864000000000001</v>
      </c>
      <c r="AS43" s="71">
        <v>2.7856000000000001</v>
      </c>
      <c r="AT43" s="71">
        <v>0.35439999999999999</v>
      </c>
      <c r="AU43" s="71">
        <v>1.4072</v>
      </c>
      <c r="AV43" s="71">
        <v>0.30880000000000002</v>
      </c>
      <c r="AW43" s="71">
        <v>6.4399999999999999E-2</v>
      </c>
      <c r="AX43" s="71">
        <v>0.34720000000000001</v>
      </c>
      <c r="AY43" s="71">
        <v>4.5199999999999997E-2</v>
      </c>
      <c r="AZ43" s="71">
        <v>0.26919999999999999</v>
      </c>
      <c r="BA43" s="77">
        <v>5.3199999999999997E-2</v>
      </c>
      <c r="BB43" s="77">
        <v>0.1404</v>
      </c>
      <c r="BC43" s="77">
        <v>2.1600000000000001E-2</v>
      </c>
      <c r="BD43" s="77">
        <v>0.1032</v>
      </c>
      <c r="BE43" s="77">
        <v>1.24E-2</v>
      </c>
      <c r="BF43" s="77">
        <v>6.9599999999999995E-2</v>
      </c>
      <c r="BG43" s="77">
        <v>8.0000000000000004E-4</v>
      </c>
      <c r="BH43" s="77">
        <v>2.12E-2</v>
      </c>
      <c r="BI43" s="77">
        <v>3.44E-2</v>
      </c>
      <c r="BJ43" s="77">
        <v>4.0000000000000002E-4</v>
      </c>
      <c r="BK43" s="77">
        <v>-4.0000000000000002E-4</v>
      </c>
      <c r="BL43" s="77">
        <v>2E-3</v>
      </c>
      <c r="BM43" s="77">
        <v>6.2E-2</v>
      </c>
      <c r="BN43" s="77">
        <v>-3.5999999999999999E-3</v>
      </c>
      <c r="BO43" s="77">
        <v>4.2799999999999998E-2</v>
      </c>
      <c r="BP43" s="77">
        <v>0.39279999999999998</v>
      </c>
      <c r="BQ43" s="77">
        <v>0.25879999999999997</v>
      </c>
      <c r="BR43" s="79"/>
    </row>
    <row r="44" spans="1:70" ht="15" x14ac:dyDescent="0.25">
      <c r="A44" s="74" t="s">
        <v>183</v>
      </c>
      <c r="B44" s="50" t="s">
        <v>96</v>
      </c>
      <c r="C44" s="75" t="s">
        <v>170</v>
      </c>
      <c r="D44" s="76"/>
      <c r="E44" s="71">
        <v>0.39400000000000002</v>
      </c>
      <c r="F44" s="71">
        <v>4.6800000000000001E-2</v>
      </c>
      <c r="G44" s="71">
        <v>320</v>
      </c>
      <c r="H44" s="71">
        <v>143.28</v>
      </c>
      <c r="I44" s="71">
        <v>714</v>
      </c>
      <c r="J44" s="71">
        <v>39.308</v>
      </c>
      <c r="K44" s="71">
        <v>3549.2</v>
      </c>
      <c r="L44" s="71">
        <v>1704400</v>
      </c>
      <c r="M44" s="71">
        <v>42.32</v>
      </c>
      <c r="N44" s="71">
        <v>514.4</v>
      </c>
      <c r="O44" s="71">
        <v>1.1080000000000001</v>
      </c>
      <c r="P44" s="71">
        <v>42.32</v>
      </c>
      <c r="Q44" s="71">
        <v>0.6</v>
      </c>
      <c r="R44" s="71">
        <v>0.16919999999999999</v>
      </c>
      <c r="S44" s="71">
        <v>80.56</v>
      </c>
      <c r="T44" s="71">
        <v>242.44</v>
      </c>
      <c r="U44" s="71">
        <v>1.272</v>
      </c>
      <c r="V44" s="71">
        <v>2.8967999999999998</v>
      </c>
      <c r="W44" s="71">
        <v>66.88</v>
      </c>
      <c r="X44" s="71">
        <v>131.12</v>
      </c>
      <c r="Y44" s="71">
        <v>4.3999999999999997E-2</v>
      </c>
      <c r="Z44" s="71">
        <v>5.1999999999999998E-2</v>
      </c>
      <c r="AA44" s="71">
        <v>0.53320000000000001</v>
      </c>
      <c r="AB44" s="71">
        <v>0.65720000000000001</v>
      </c>
      <c r="AC44" s="71">
        <v>2.76E-2</v>
      </c>
      <c r="AD44" s="71">
        <v>29.568000000000001</v>
      </c>
      <c r="AE44" s="71">
        <v>2.2235999999999998</v>
      </c>
      <c r="AF44" s="71">
        <v>1.1948000000000001</v>
      </c>
      <c r="AG44" s="71">
        <v>0</v>
      </c>
      <c r="AH44" s="71">
        <v>0.27879999999999999</v>
      </c>
      <c r="AI44" s="71">
        <v>4.0000000000000002E-4</v>
      </c>
      <c r="AJ44" s="71">
        <v>0</v>
      </c>
      <c r="AK44" s="71">
        <v>4.2000000000000003E-2</v>
      </c>
      <c r="AL44" s="71">
        <v>7.1999999999999998E-3</v>
      </c>
      <c r="AM44" s="71">
        <v>-1.1999999999999999E-3</v>
      </c>
      <c r="AN44" s="71">
        <v>6.0000000000000001E-3</v>
      </c>
      <c r="AO44" s="71">
        <v>1.6799999999999999E-2</v>
      </c>
      <c r="AP44" s="71">
        <v>-3.2000000000000002E-3</v>
      </c>
      <c r="AQ44" s="71">
        <v>6.7839999999999998</v>
      </c>
      <c r="AR44" s="71">
        <v>1.716</v>
      </c>
      <c r="AS44" s="71">
        <v>3.4119999999999999</v>
      </c>
      <c r="AT44" s="71">
        <v>0.43080000000000002</v>
      </c>
      <c r="AU44" s="71">
        <v>1.7604</v>
      </c>
      <c r="AV44" s="71">
        <v>0.36520000000000002</v>
      </c>
      <c r="AW44" s="71">
        <v>6.8400000000000002E-2</v>
      </c>
      <c r="AX44" s="71">
        <v>0.42480000000000001</v>
      </c>
      <c r="AY44" s="71">
        <v>5.3999999999999999E-2</v>
      </c>
      <c r="AZ44" s="71">
        <v>0.34799999999999998</v>
      </c>
      <c r="BA44" s="77">
        <v>6.5600000000000006E-2</v>
      </c>
      <c r="BB44" s="77">
        <v>0.16919999999999999</v>
      </c>
      <c r="BC44" s="77">
        <v>2.2800000000000001E-2</v>
      </c>
      <c r="BD44" s="77">
        <v>0.14680000000000001</v>
      </c>
      <c r="BE44" s="77">
        <v>1.5599999999999999E-2</v>
      </c>
      <c r="BF44" s="77">
        <v>5.3199999999999997E-2</v>
      </c>
      <c r="BG44" s="77">
        <v>4.0000000000000002E-4</v>
      </c>
      <c r="BH44" s="77">
        <v>1.9599999999999999E-2</v>
      </c>
      <c r="BI44" s="77">
        <v>0.03</v>
      </c>
      <c r="BJ44" s="77">
        <v>4.0000000000000002E-4</v>
      </c>
      <c r="BK44" s="77">
        <v>-8.0000000000000004E-4</v>
      </c>
      <c r="BL44" s="77">
        <v>1.1999999999999999E-3</v>
      </c>
      <c r="BM44" s="77">
        <v>8.2400000000000001E-2</v>
      </c>
      <c r="BN44" s="77">
        <v>-8.0000000000000002E-3</v>
      </c>
      <c r="BO44" s="77">
        <v>1.6E-2</v>
      </c>
      <c r="BP44" s="77">
        <v>0.4572</v>
      </c>
      <c r="BQ44" s="77">
        <v>0.32440000000000002</v>
      </c>
      <c r="BR44" s="79"/>
    </row>
    <row r="45" spans="1:70" ht="15" x14ac:dyDescent="0.25">
      <c r="A45" s="74" t="s">
        <v>183</v>
      </c>
      <c r="B45" s="50" t="s">
        <v>96</v>
      </c>
      <c r="C45" s="75" t="s">
        <v>170</v>
      </c>
      <c r="D45" s="76"/>
      <c r="E45" s="71">
        <v>0.52359999999999995</v>
      </c>
      <c r="F45" s="71">
        <v>0.13159999999999999</v>
      </c>
      <c r="G45" s="71">
        <v>319.88</v>
      </c>
      <c r="H45" s="71">
        <v>149.44</v>
      </c>
      <c r="I45" s="71">
        <v>721.2</v>
      </c>
      <c r="J45" s="71">
        <v>29.283999999999999</v>
      </c>
      <c r="K45" s="71">
        <v>3668.4</v>
      </c>
      <c r="L45" s="71">
        <v>1692800</v>
      </c>
      <c r="M45" s="71">
        <v>42.44</v>
      </c>
      <c r="N45" s="71">
        <v>514.79999999999995</v>
      </c>
      <c r="O45" s="71">
        <v>1.2043999999999999</v>
      </c>
      <c r="P45" s="71">
        <v>42.44</v>
      </c>
      <c r="Q45" s="71">
        <v>0.65280000000000005</v>
      </c>
      <c r="R45" s="71">
        <v>0.18440000000000001</v>
      </c>
      <c r="S45" s="71">
        <v>83.28</v>
      </c>
      <c r="T45" s="71">
        <v>243.16</v>
      </c>
      <c r="U45" s="71">
        <v>1.3588</v>
      </c>
      <c r="V45" s="71">
        <v>2.9935999999999998</v>
      </c>
      <c r="W45" s="71">
        <v>63.32</v>
      </c>
      <c r="X45" s="71">
        <v>127.52</v>
      </c>
      <c r="Y45" s="71">
        <v>5.7599999999999998E-2</v>
      </c>
      <c r="Z45" s="71">
        <v>5.3199999999999997E-2</v>
      </c>
      <c r="AA45" s="71">
        <v>0.52280000000000004</v>
      </c>
      <c r="AB45" s="71">
        <v>6.6799999999999998E-2</v>
      </c>
      <c r="AC45" s="71">
        <v>2.76E-2</v>
      </c>
      <c r="AD45" s="71">
        <v>30.448</v>
      </c>
      <c r="AE45" s="71">
        <v>2.4236</v>
      </c>
      <c r="AF45" s="71">
        <v>1.0884</v>
      </c>
      <c r="AG45" s="71">
        <v>0</v>
      </c>
      <c r="AH45" s="71">
        <v>0.2944</v>
      </c>
      <c r="AI45" s="71">
        <v>-4.0000000000000002E-4</v>
      </c>
      <c r="AJ45" s="71">
        <v>0</v>
      </c>
      <c r="AK45" s="71">
        <v>4.0399999999999998E-2</v>
      </c>
      <c r="AL45" s="71">
        <v>-5.16E-2</v>
      </c>
      <c r="AM45" s="71">
        <v>-2.8E-3</v>
      </c>
      <c r="AN45" s="71">
        <v>6.0000000000000001E-3</v>
      </c>
      <c r="AO45" s="71">
        <v>-1.9199999999999998E-2</v>
      </c>
      <c r="AP45" s="71">
        <v>-2.8E-3</v>
      </c>
      <c r="AQ45" s="71">
        <v>6.8040000000000003</v>
      </c>
      <c r="AR45" s="71">
        <v>1.7427999999999999</v>
      </c>
      <c r="AS45" s="71">
        <v>3.5076000000000001</v>
      </c>
      <c r="AT45" s="71">
        <v>0.44080000000000003</v>
      </c>
      <c r="AU45" s="71">
        <v>1.8495999999999999</v>
      </c>
      <c r="AV45" s="71">
        <v>0.36840000000000001</v>
      </c>
      <c r="AW45" s="71">
        <v>0.08</v>
      </c>
      <c r="AX45" s="71">
        <v>0.40799999999999997</v>
      </c>
      <c r="AY45" s="71">
        <v>5.6000000000000001E-2</v>
      </c>
      <c r="AZ45" s="71">
        <v>0.33560000000000001</v>
      </c>
      <c r="BA45" s="77">
        <v>6.7199999999999996E-2</v>
      </c>
      <c r="BB45" s="77">
        <v>0.18440000000000001</v>
      </c>
      <c r="BC45" s="77">
        <v>2.4E-2</v>
      </c>
      <c r="BD45" s="77">
        <v>0.14319999999999999</v>
      </c>
      <c r="BE45" s="77">
        <v>1.6799999999999999E-2</v>
      </c>
      <c r="BF45" s="77">
        <v>5.3999999999999999E-2</v>
      </c>
      <c r="BG45" s="77">
        <v>4.0000000000000002E-4</v>
      </c>
      <c r="BH45" s="77">
        <v>1.52E-2</v>
      </c>
      <c r="BI45" s="77">
        <v>3.2399999999999998E-2</v>
      </c>
      <c r="BJ45" s="77">
        <v>4.0000000000000002E-4</v>
      </c>
      <c r="BK45" s="77">
        <v>-1.1999999999999999E-3</v>
      </c>
      <c r="BL45" s="77">
        <v>1.6000000000000001E-3</v>
      </c>
      <c r="BM45" s="77">
        <v>8.3599999999999994E-2</v>
      </c>
      <c r="BN45" s="77">
        <v>-7.1999999999999998E-3</v>
      </c>
      <c r="BO45" s="77">
        <v>2.0799999999999999E-2</v>
      </c>
      <c r="BP45" s="77">
        <v>0.5272</v>
      </c>
      <c r="BQ45" s="77">
        <v>0.33839999999999998</v>
      </c>
      <c r="BR45" s="79"/>
    </row>
    <row r="46" spans="1:70" ht="15" x14ac:dyDescent="0.25">
      <c r="A46" s="74" t="s">
        <v>184</v>
      </c>
      <c r="B46" s="50" t="s">
        <v>97</v>
      </c>
      <c r="C46" s="75" t="s">
        <v>170</v>
      </c>
      <c r="D46" s="76"/>
      <c r="E46" s="71">
        <v>0.2964</v>
      </c>
      <c r="F46" s="71">
        <v>0</v>
      </c>
      <c r="G46" s="71">
        <v>147.36000000000001</v>
      </c>
      <c r="H46" s="71">
        <v>33.33</v>
      </c>
      <c r="I46" s="71">
        <v>147.81</v>
      </c>
      <c r="J46" s="71">
        <v>12.891</v>
      </c>
      <c r="K46" s="71">
        <v>1195.2</v>
      </c>
      <c r="L46" s="71">
        <v>4314000</v>
      </c>
      <c r="M46" s="71">
        <v>0.47249999999999998</v>
      </c>
      <c r="N46" s="71">
        <v>182.07</v>
      </c>
      <c r="O46" s="71">
        <v>1.4247000000000001</v>
      </c>
      <c r="P46" s="71">
        <v>0.47249999999999998</v>
      </c>
      <c r="Q46" s="71">
        <v>1.1625000000000001</v>
      </c>
      <c r="R46" s="71">
        <v>4.2779999999999996</v>
      </c>
      <c r="S46" s="71">
        <v>6.8789999999999996</v>
      </c>
      <c r="T46" s="71">
        <v>1722.9</v>
      </c>
      <c r="U46" s="71">
        <v>1.4388000000000001</v>
      </c>
      <c r="V46" s="71">
        <v>6.1289999999999996</v>
      </c>
      <c r="W46" s="71">
        <v>577.20000000000005</v>
      </c>
      <c r="X46" s="71">
        <v>719400</v>
      </c>
      <c r="Y46" s="71">
        <v>6.4799999999999996E-2</v>
      </c>
      <c r="Z46" s="71">
        <v>0.49769999999999998</v>
      </c>
      <c r="AA46" s="71">
        <v>6.1109999999999998</v>
      </c>
      <c r="AB46" s="71">
        <v>67.47</v>
      </c>
      <c r="AC46" s="71">
        <v>0.1716</v>
      </c>
      <c r="AD46" s="71">
        <v>1.7303999999999999</v>
      </c>
      <c r="AE46" s="71">
        <v>3.5700000000000003E-2</v>
      </c>
      <c r="AF46" s="71">
        <v>0.1047</v>
      </c>
      <c r="AG46" s="71">
        <v>0</v>
      </c>
      <c r="AH46" s="71">
        <v>6.8460000000000001</v>
      </c>
      <c r="AI46" s="71">
        <v>2.1000000000000001E-2</v>
      </c>
      <c r="AJ46" s="71">
        <v>4.4999999999999997E-3</v>
      </c>
      <c r="AK46" s="71">
        <v>0.2172</v>
      </c>
      <c r="AL46" s="71">
        <v>9.1349999999999998</v>
      </c>
      <c r="AM46" s="71">
        <v>5.4899999999999997E-2</v>
      </c>
      <c r="AN46" s="71">
        <v>9.9299999999999999E-2</v>
      </c>
      <c r="AO46" s="71">
        <v>-5.1000000000000004E-3</v>
      </c>
      <c r="AP46" s="71">
        <v>8.0999999999999996E-3</v>
      </c>
      <c r="AQ46" s="71">
        <v>9.2129999999999992</v>
      </c>
      <c r="AR46" s="71">
        <v>5.16E-2</v>
      </c>
      <c r="AS46" s="71">
        <v>0.10829999999999999</v>
      </c>
      <c r="AT46" s="71">
        <v>2.3699999999999999E-2</v>
      </c>
      <c r="AU46" s="71">
        <v>0.41670000000000001</v>
      </c>
      <c r="AV46" s="71">
        <v>7.4999999999999997E-3</v>
      </c>
      <c r="AW46" s="71">
        <v>2.7000000000000001E-3</v>
      </c>
      <c r="AX46" s="71">
        <v>4.7999999999999996E-3</v>
      </c>
      <c r="AY46" s="71">
        <v>1.1999999999999999E-3</v>
      </c>
      <c r="AZ46" s="71">
        <v>0.03</v>
      </c>
      <c r="BA46" s="77">
        <v>1.1999999999999999E-3</v>
      </c>
      <c r="BB46" s="77">
        <v>3.5999999999999999E-3</v>
      </c>
      <c r="BC46" s="77">
        <v>8.9999999999999998E-4</v>
      </c>
      <c r="BD46" s="77">
        <v>3.0000000000000001E-3</v>
      </c>
      <c r="BE46" s="77">
        <v>5.9999999999999995E-4</v>
      </c>
      <c r="BF46" s="77">
        <v>3.1199999999999999E-2</v>
      </c>
      <c r="BG46" s="77">
        <v>0</v>
      </c>
      <c r="BH46" s="77">
        <v>0.1401</v>
      </c>
      <c r="BI46" s="77">
        <v>4.7999999999999996E-3</v>
      </c>
      <c r="BJ46" s="77">
        <v>1.1999999999999999E-3</v>
      </c>
      <c r="BK46" s="77">
        <v>-2.9999999999999997E-4</v>
      </c>
      <c r="BL46" s="77">
        <v>1.5E-3</v>
      </c>
      <c r="BM46" s="77">
        <v>0.3291</v>
      </c>
      <c r="BN46" s="77">
        <v>13.515000000000001</v>
      </c>
      <c r="BO46" s="77">
        <v>0.16980000000000001</v>
      </c>
      <c r="BP46" s="77">
        <v>4.8899999999999997</v>
      </c>
      <c r="BQ46" s="77">
        <v>0.24809999999999999</v>
      </c>
      <c r="BR46" s="79"/>
    </row>
    <row r="47" spans="1:70" ht="15" x14ac:dyDescent="0.25">
      <c r="A47" s="74" t="s">
        <v>184</v>
      </c>
      <c r="B47" s="50" t="s">
        <v>97</v>
      </c>
      <c r="C47" s="75" t="s">
        <v>170</v>
      </c>
      <c r="D47" s="76"/>
      <c r="E47" s="71">
        <v>0.22919999999999999</v>
      </c>
      <c r="F47" s="71">
        <v>1.5E-3</v>
      </c>
      <c r="G47" s="71">
        <v>155.04</v>
      </c>
      <c r="H47" s="71">
        <v>42.6</v>
      </c>
      <c r="I47" s="71">
        <v>188.52</v>
      </c>
      <c r="J47" s="71">
        <v>17.975999999999999</v>
      </c>
      <c r="K47" s="71">
        <v>1348.8</v>
      </c>
      <c r="L47" s="71">
        <v>4917000</v>
      </c>
      <c r="M47" s="71">
        <v>0.59460000000000002</v>
      </c>
      <c r="N47" s="71">
        <v>298.08</v>
      </c>
      <c r="O47" s="71">
        <v>1.0398000000000001</v>
      </c>
      <c r="P47" s="71">
        <v>0.59460000000000002</v>
      </c>
      <c r="Q47" s="71">
        <v>1.4778</v>
      </c>
      <c r="R47" s="71">
        <v>5.4569999999999999</v>
      </c>
      <c r="S47" s="71">
        <v>8.8260000000000005</v>
      </c>
      <c r="T47" s="71">
        <v>2027.1</v>
      </c>
      <c r="U47" s="71">
        <v>1.8267</v>
      </c>
      <c r="V47" s="71">
        <v>7.8029999999999999</v>
      </c>
      <c r="W47" s="71">
        <v>734.4</v>
      </c>
      <c r="X47" s="71">
        <v>922200</v>
      </c>
      <c r="Y47" s="71">
        <v>6.6600000000000006E-2</v>
      </c>
      <c r="Z47" s="71">
        <v>0.32100000000000001</v>
      </c>
      <c r="AA47" s="71">
        <v>7.1879999999999997</v>
      </c>
      <c r="AB47" s="71">
        <v>86.34</v>
      </c>
      <c r="AC47" s="71">
        <v>5.4600000000000003E-2</v>
      </c>
      <c r="AD47" s="71">
        <v>2.1728999999999998</v>
      </c>
      <c r="AE47" s="71">
        <v>3.4500000000000003E-2</v>
      </c>
      <c r="AF47" s="71">
        <v>0.11219999999999999</v>
      </c>
      <c r="AG47" s="71">
        <v>0</v>
      </c>
      <c r="AH47" s="71">
        <v>9.0960000000000001</v>
      </c>
      <c r="AI47" s="71">
        <v>2.46E-2</v>
      </c>
      <c r="AJ47" s="71">
        <v>4.4999999999999997E-3</v>
      </c>
      <c r="AK47" s="71">
        <v>0.1671</v>
      </c>
      <c r="AL47" s="71">
        <v>11.337</v>
      </c>
      <c r="AM47" s="71">
        <v>6.1800000000000001E-2</v>
      </c>
      <c r="AN47" s="71">
        <v>0.12690000000000001</v>
      </c>
      <c r="AO47" s="71">
        <v>0</v>
      </c>
      <c r="AP47" s="71">
        <v>9.2999999999999992E-3</v>
      </c>
      <c r="AQ47" s="71">
        <v>9.8010000000000002</v>
      </c>
      <c r="AR47" s="71">
        <v>5.4600000000000003E-2</v>
      </c>
      <c r="AS47" s="71">
        <v>0.111</v>
      </c>
      <c r="AT47" s="71">
        <v>2.4899999999999999E-2</v>
      </c>
      <c r="AU47" s="71">
        <v>0.43020000000000003</v>
      </c>
      <c r="AV47" s="71">
        <v>8.6999999999999994E-3</v>
      </c>
      <c r="AW47" s="71">
        <v>2.3999999999999998E-3</v>
      </c>
      <c r="AX47" s="71">
        <v>4.7999999999999996E-3</v>
      </c>
      <c r="AY47" s="71">
        <v>1.1999999999999999E-3</v>
      </c>
      <c r="AZ47" s="71">
        <v>3.2099999999999997E-2</v>
      </c>
      <c r="BA47" s="77">
        <v>1.5E-3</v>
      </c>
      <c r="BB47" s="77">
        <v>3.3E-3</v>
      </c>
      <c r="BC47" s="77">
        <v>5.9999999999999995E-4</v>
      </c>
      <c r="BD47" s="77">
        <v>2.0999999999999999E-3</v>
      </c>
      <c r="BE47" s="77">
        <v>5.9999999999999995E-4</v>
      </c>
      <c r="BF47" s="77">
        <v>2.7300000000000001E-2</v>
      </c>
      <c r="BG47" s="77">
        <v>2.9999999999999997E-4</v>
      </c>
      <c r="BH47" s="77">
        <v>0.19889999999999999</v>
      </c>
      <c r="BI47" s="77">
        <v>6.0000000000000001E-3</v>
      </c>
      <c r="BJ47" s="77">
        <v>1.1999999999999999E-3</v>
      </c>
      <c r="BK47" s="77">
        <v>-2.9999999999999997E-4</v>
      </c>
      <c r="BL47" s="77">
        <v>1.1999999999999999E-3</v>
      </c>
      <c r="BM47" s="77">
        <v>0.29399999999999998</v>
      </c>
      <c r="BN47" s="77">
        <v>16.587</v>
      </c>
      <c r="BO47" s="77">
        <v>0.1842</v>
      </c>
      <c r="BP47" s="77">
        <v>4.4400000000000004</v>
      </c>
      <c r="BQ47" s="77">
        <v>0.25380000000000003</v>
      </c>
      <c r="BR47" s="79"/>
    </row>
    <row r="48" spans="1:70" ht="15" x14ac:dyDescent="0.25">
      <c r="A48" s="74" t="s">
        <v>184</v>
      </c>
      <c r="B48" s="50" t="s">
        <v>97</v>
      </c>
      <c r="C48" s="75" t="s">
        <v>170</v>
      </c>
      <c r="D48" s="76"/>
      <c r="E48" s="71">
        <v>0.2928</v>
      </c>
      <c r="F48" s="71">
        <v>0</v>
      </c>
      <c r="G48" s="71">
        <v>166.08</v>
      </c>
      <c r="H48" s="71">
        <v>32.43</v>
      </c>
      <c r="I48" s="71">
        <v>145.02000000000001</v>
      </c>
      <c r="J48" s="71">
        <v>14.048999999999999</v>
      </c>
      <c r="K48" s="71">
        <v>1816.2</v>
      </c>
      <c r="L48" s="71">
        <v>5307000</v>
      </c>
      <c r="M48" s="71">
        <v>0.48749999999999999</v>
      </c>
      <c r="N48" s="71">
        <v>320.7</v>
      </c>
      <c r="O48" s="71">
        <v>0.81569999999999998</v>
      </c>
      <c r="P48" s="71">
        <v>0.48749999999999999</v>
      </c>
      <c r="Q48" s="71">
        <v>1.1454</v>
      </c>
      <c r="R48" s="71">
        <v>4.2539999999999996</v>
      </c>
      <c r="S48" s="71">
        <v>6.798</v>
      </c>
      <c r="T48" s="71">
        <v>2131.8000000000002</v>
      </c>
      <c r="U48" s="71">
        <v>1.4525999999999999</v>
      </c>
      <c r="V48" s="71">
        <v>6.2160000000000002</v>
      </c>
      <c r="W48" s="71">
        <v>584.1</v>
      </c>
      <c r="X48" s="71">
        <v>724500</v>
      </c>
      <c r="Y48" s="71">
        <v>7.4099999999999999E-2</v>
      </c>
      <c r="Z48" s="71">
        <v>0.2772</v>
      </c>
      <c r="AA48" s="71">
        <v>7.1429999999999998</v>
      </c>
      <c r="AB48" s="71">
        <v>69</v>
      </c>
      <c r="AC48" s="71">
        <v>0.114</v>
      </c>
      <c r="AD48" s="71">
        <v>1.7094</v>
      </c>
      <c r="AE48" s="71">
        <v>3.4200000000000001E-2</v>
      </c>
      <c r="AF48" s="71">
        <v>8.1299999999999997E-2</v>
      </c>
      <c r="AG48" s="71">
        <v>0</v>
      </c>
      <c r="AH48" s="71">
        <v>7.3259999999999996</v>
      </c>
      <c r="AI48" s="71">
        <v>2.6100000000000002E-2</v>
      </c>
      <c r="AJ48" s="71">
        <v>4.1999999999999997E-3</v>
      </c>
      <c r="AK48" s="71">
        <v>0.13500000000000001</v>
      </c>
      <c r="AL48" s="71">
        <v>9.2669999999999995</v>
      </c>
      <c r="AM48" s="71">
        <v>5.3699999999999998E-2</v>
      </c>
      <c r="AN48" s="71">
        <v>0.1047</v>
      </c>
      <c r="AO48" s="71">
        <v>1.1999999999999999E-3</v>
      </c>
      <c r="AP48" s="71">
        <v>4.4999999999999997E-3</v>
      </c>
      <c r="AQ48" s="71">
        <v>10.659000000000001</v>
      </c>
      <c r="AR48" s="71">
        <v>5.3699999999999998E-2</v>
      </c>
      <c r="AS48" s="71">
        <v>0.1101</v>
      </c>
      <c r="AT48" s="71">
        <v>2.5499999999999998E-2</v>
      </c>
      <c r="AU48" s="71">
        <v>0.43020000000000003</v>
      </c>
      <c r="AV48" s="71">
        <v>7.7999999999999996E-3</v>
      </c>
      <c r="AW48" s="71">
        <v>3.0000000000000001E-3</v>
      </c>
      <c r="AX48" s="71">
        <v>4.1999999999999997E-3</v>
      </c>
      <c r="AY48" s="71">
        <v>1.5E-3</v>
      </c>
      <c r="AZ48" s="71">
        <v>3.09E-2</v>
      </c>
      <c r="BA48" s="77">
        <v>1.5E-3</v>
      </c>
      <c r="BB48" s="77">
        <v>2.7000000000000001E-3</v>
      </c>
      <c r="BC48" s="77">
        <v>5.9999999999999995E-4</v>
      </c>
      <c r="BD48" s="77">
        <v>3.0000000000000001E-3</v>
      </c>
      <c r="BE48" s="77">
        <v>5.9999999999999995E-4</v>
      </c>
      <c r="BF48" s="77">
        <v>1.7399999999999999E-2</v>
      </c>
      <c r="BG48" s="77">
        <v>0</v>
      </c>
      <c r="BH48" s="77">
        <v>0.1671</v>
      </c>
      <c r="BI48" s="77">
        <v>5.4000000000000003E-3</v>
      </c>
      <c r="BJ48" s="77">
        <v>5.9999999999999995E-4</v>
      </c>
      <c r="BK48" s="77">
        <v>-2.9999999999999997E-4</v>
      </c>
      <c r="BL48" s="77">
        <v>1.1999999999999999E-3</v>
      </c>
      <c r="BM48" s="77">
        <v>0.27689999999999998</v>
      </c>
      <c r="BN48" s="77">
        <v>13.644</v>
      </c>
      <c r="BO48" s="77">
        <v>0.14699999999999999</v>
      </c>
      <c r="BP48" s="77">
        <v>3.9449999999999998</v>
      </c>
      <c r="BQ48" s="77">
        <v>0.25290000000000001</v>
      </c>
      <c r="BR48" s="79"/>
    </row>
    <row r="49" spans="1:70" ht="15" x14ac:dyDescent="0.25">
      <c r="A49" s="74" t="s">
        <v>185</v>
      </c>
      <c r="B49" s="50" t="s">
        <v>98</v>
      </c>
      <c r="C49" s="75" t="s">
        <v>170</v>
      </c>
      <c r="D49" s="76"/>
      <c r="E49" s="71">
        <v>0.11609999999999999</v>
      </c>
      <c r="F49" s="71">
        <v>2.3999999999999998E-3</v>
      </c>
      <c r="G49" s="71">
        <v>98.19</v>
      </c>
      <c r="H49" s="71">
        <v>12.398999999999999</v>
      </c>
      <c r="I49" s="71">
        <v>325.8</v>
      </c>
      <c r="J49" s="71">
        <v>7.8570000000000002</v>
      </c>
      <c r="K49" s="71">
        <v>273</v>
      </c>
      <c r="L49" s="71">
        <v>2700300</v>
      </c>
      <c r="M49" s="71">
        <v>0.51780000000000004</v>
      </c>
      <c r="N49" s="71">
        <v>97.35</v>
      </c>
      <c r="O49" s="71">
        <v>-2.8799999999999999E-2</v>
      </c>
      <c r="P49" s="71">
        <v>0.51780000000000004</v>
      </c>
      <c r="Q49" s="71">
        <v>0.35489999999999999</v>
      </c>
      <c r="R49" s="71">
        <v>0.42149999999999999</v>
      </c>
      <c r="S49" s="71">
        <v>1.296</v>
      </c>
      <c r="T49" s="71">
        <v>259.95</v>
      </c>
      <c r="U49" s="71">
        <v>0.114</v>
      </c>
      <c r="V49" s="71">
        <v>8.2710000000000008</v>
      </c>
      <c r="W49" s="71">
        <v>-4.899</v>
      </c>
      <c r="X49" s="71">
        <v>897.3</v>
      </c>
      <c r="Y49" s="71">
        <v>6.8699999999999997E-2</v>
      </c>
      <c r="Z49" s="71">
        <v>2.2800000000000001E-2</v>
      </c>
      <c r="AA49" s="71">
        <v>0.67259999999999998</v>
      </c>
      <c r="AB49" s="71">
        <v>0.55889999999999995</v>
      </c>
      <c r="AC49" s="71">
        <v>2.01E-2</v>
      </c>
      <c r="AD49" s="71">
        <v>0.69359999999999999</v>
      </c>
      <c r="AE49" s="71">
        <v>-2.9999999999999997E-4</v>
      </c>
      <c r="AF49" s="71">
        <v>2.3699999999999999E-2</v>
      </c>
      <c r="AG49" s="71">
        <v>0</v>
      </c>
      <c r="AH49" s="71">
        <v>0.1452</v>
      </c>
      <c r="AI49" s="71">
        <v>0</v>
      </c>
      <c r="AJ49" s="71">
        <v>1.5E-3</v>
      </c>
      <c r="AK49" s="71">
        <v>3.0000000000000001E-3</v>
      </c>
      <c r="AL49" s="71">
        <v>20.321999999999999</v>
      </c>
      <c r="AM49" s="71">
        <v>0.123</v>
      </c>
      <c r="AN49" s="71">
        <v>0.65700000000000003</v>
      </c>
      <c r="AO49" s="71">
        <v>0.12870000000000001</v>
      </c>
      <c r="AP49" s="71">
        <v>-5.9999999999999995E-4</v>
      </c>
      <c r="AQ49" s="71">
        <v>13.212</v>
      </c>
      <c r="AR49" s="71">
        <v>8.9999999999999998E-4</v>
      </c>
      <c r="AS49" s="71">
        <v>1.5E-3</v>
      </c>
      <c r="AT49" s="71">
        <v>0</v>
      </c>
      <c r="AU49" s="71">
        <v>5.9999999999999995E-4</v>
      </c>
      <c r="AV49" s="71">
        <v>-2.9999999999999997E-4</v>
      </c>
      <c r="AW49" s="71">
        <v>0</v>
      </c>
      <c r="AX49" s="71">
        <v>-2.3999999999999998E-3</v>
      </c>
      <c r="AY49" s="71">
        <v>0</v>
      </c>
      <c r="AZ49" s="71">
        <v>0</v>
      </c>
      <c r="BA49" s="77">
        <v>0</v>
      </c>
      <c r="BB49" s="77">
        <v>0</v>
      </c>
      <c r="BC49" s="77">
        <v>0</v>
      </c>
      <c r="BD49" s="77">
        <v>-2.9999999999999997E-4</v>
      </c>
      <c r="BE49" s="77">
        <v>0</v>
      </c>
      <c r="BF49" s="77">
        <v>5.7000000000000002E-3</v>
      </c>
      <c r="BG49" s="77">
        <v>2.9999999999999997E-4</v>
      </c>
      <c r="BH49" s="77">
        <v>5.04E-2</v>
      </c>
      <c r="BI49" s="77">
        <v>-2.9999999999999997E-4</v>
      </c>
      <c r="BJ49" s="77">
        <v>0</v>
      </c>
      <c r="BK49" s="77">
        <v>-2.9999999999999997E-4</v>
      </c>
      <c r="BL49" s="77">
        <v>-2.9999999999999997E-4</v>
      </c>
      <c r="BM49" s="77">
        <v>2.1899999999999999E-2</v>
      </c>
      <c r="BN49" s="77">
        <v>0.1143</v>
      </c>
      <c r="BO49" s="77">
        <v>38.76</v>
      </c>
      <c r="BP49" s="77">
        <v>2.3400000000000001E-2</v>
      </c>
      <c r="BQ49" s="77">
        <v>-2.0999999999999999E-3</v>
      </c>
      <c r="BR49" s="79"/>
    </row>
    <row r="50" spans="1:70" ht="15" x14ac:dyDescent="0.25">
      <c r="A50" s="74" t="s">
        <v>185</v>
      </c>
      <c r="B50" s="50" t="s">
        <v>98</v>
      </c>
      <c r="C50" s="75" t="s">
        <v>170</v>
      </c>
      <c r="D50" s="76"/>
      <c r="E50" s="71">
        <v>9.5399999999999999E-2</v>
      </c>
      <c r="F50" s="71">
        <v>3.8999999999999998E-3</v>
      </c>
      <c r="G50" s="71">
        <v>97.23</v>
      </c>
      <c r="H50" s="71">
        <v>12.012</v>
      </c>
      <c r="I50" s="71">
        <v>317.39999999999998</v>
      </c>
      <c r="J50" s="71">
        <v>8.5920000000000005</v>
      </c>
      <c r="K50" s="71">
        <v>280.14</v>
      </c>
      <c r="L50" s="71">
        <v>2768100</v>
      </c>
      <c r="M50" s="71">
        <v>0.6159</v>
      </c>
      <c r="N50" s="71">
        <v>95.85</v>
      </c>
      <c r="O50" s="71">
        <v>-2.9100000000000001E-2</v>
      </c>
      <c r="P50" s="71">
        <v>0.6159</v>
      </c>
      <c r="Q50" s="71">
        <v>0.34499999999999997</v>
      </c>
      <c r="R50" s="71">
        <v>0.43049999999999999</v>
      </c>
      <c r="S50" s="71">
        <v>1.2639</v>
      </c>
      <c r="T50" s="71">
        <v>243.03</v>
      </c>
      <c r="U50" s="71">
        <v>0.11310000000000001</v>
      </c>
      <c r="V50" s="71">
        <v>8.3610000000000007</v>
      </c>
      <c r="W50" s="71">
        <v>-4.899</v>
      </c>
      <c r="X50" s="71">
        <v>797.7</v>
      </c>
      <c r="Y50" s="71">
        <v>6.9900000000000004E-2</v>
      </c>
      <c r="Z50" s="71">
        <v>3.1800000000000002E-2</v>
      </c>
      <c r="AA50" s="71">
        <v>0.69569999999999999</v>
      </c>
      <c r="AB50" s="71">
        <v>0.82469999999999999</v>
      </c>
      <c r="AC50" s="71">
        <v>3.5099999999999999E-2</v>
      </c>
      <c r="AD50" s="71">
        <v>0.67859999999999998</v>
      </c>
      <c r="AE50" s="71">
        <v>-2.9999999999999997E-4</v>
      </c>
      <c r="AF50" s="71">
        <v>2.3099999999999999E-2</v>
      </c>
      <c r="AG50" s="71">
        <v>0</v>
      </c>
      <c r="AH50" s="71">
        <v>9.3299999999999994E-2</v>
      </c>
      <c r="AI50" s="71">
        <v>0</v>
      </c>
      <c r="AJ50" s="71">
        <v>1.5E-3</v>
      </c>
      <c r="AK50" s="71">
        <v>1.8E-3</v>
      </c>
      <c r="AL50" s="71">
        <v>20.792999999999999</v>
      </c>
      <c r="AM50" s="71">
        <v>0.1278</v>
      </c>
      <c r="AN50" s="71">
        <v>0.67979999999999996</v>
      </c>
      <c r="AO50" s="71">
        <v>0.14369999999999999</v>
      </c>
      <c r="AP50" s="71">
        <v>-5.9999999999999995E-4</v>
      </c>
      <c r="AQ50" s="71">
        <v>12.933</v>
      </c>
      <c r="AR50" s="71">
        <v>8.9999999999999998E-4</v>
      </c>
      <c r="AS50" s="71">
        <v>1.5E-3</v>
      </c>
      <c r="AT50" s="71">
        <v>0</v>
      </c>
      <c r="AU50" s="71">
        <v>5.9999999999999995E-4</v>
      </c>
      <c r="AV50" s="71">
        <v>-2.9999999999999997E-4</v>
      </c>
      <c r="AW50" s="71">
        <v>0</v>
      </c>
      <c r="AX50" s="71">
        <v>-2.3999999999999998E-3</v>
      </c>
      <c r="AY50" s="71">
        <v>0</v>
      </c>
      <c r="AZ50" s="71">
        <v>0</v>
      </c>
      <c r="BA50" s="77">
        <v>0</v>
      </c>
      <c r="BB50" s="77">
        <v>0</v>
      </c>
      <c r="BC50" s="77">
        <v>0</v>
      </c>
      <c r="BD50" s="77">
        <v>-2.9999999999999997E-4</v>
      </c>
      <c r="BE50" s="77">
        <v>0</v>
      </c>
      <c r="BF50" s="77">
        <v>3.8999999999999998E-3</v>
      </c>
      <c r="BG50" s="77">
        <v>2.9999999999999997E-4</v>
      </c>
      <c r="BH50" s="77">
        <v>4.9799999999999997E-2</v>
      </c>
      <c r="BI50" s="77">
        <v>-2.9999999999999997E-4</v>
      </c>
      <c r="BJ50" s="77">
        <v>5.9999999999999995E-4</v>
      </c>
      <c r="BK50" s="77">
        <v>0</v>
      </c>
      <c r="BL50" s="77">
        <v>-2.9999999999999997E-4</v>
      </c>
      <c r="BM50" s="77">
        <v>2.1600000000000001E-2</v>
      </c>
      <c r="BN50" s="77">
        <v>7.6200000000000004E-2</v>
      </c>
      <c r="BO50" s="77">
        <v>38.94</v>
      </c>
      <c r="BP50" s="77">
        <v>1.5900000000000001E-2</v>
      </c>
      <c r="BQ50" s="77">
        <v>-2.0999999999999999E-3</v>
      </c>
      <c r="BR50" s="79"/>
    </row>
    <row r="51" spans="1:70" ht="15" x14ac:dyDescent="0.25">
      <c r="A51" s="74" t="s">
        <v>185</v>
      </c>
      <c r="B51" s="50" t="s">
        <v>98</v>
      </c>
      <c r="C51" s="75" t="s">
        <v>170</v>
      </c>
      <c r="D51" s="76"/>
      <c r="E51" s="71">
        <v>9.3600000000000003E-2</v>
      </c>
      <c r="F51" s="71">
        <v>1.5E-3</v>
      </c>
      <c r="G51" s="71">
        <v>97.83</v>
      </c>
      <c r="H51" s="71">
        <v>12.246</v>
      </c>
      <c r="I51" s="71">
        <v>318.89999999999998</v>
      </c>
      <c r="J51" s="71">
        <v>8.7750000000000004</v>
      </c>
      <c r="K51" s="71">
        <v>354.3</v>
      </c>
      <c r="L51" s="71">
        <v>2855700</v>
      </c>
      <c r="M51" s="71">
        <v>0.61709999999999998</v>
      </c>
      <c r="N51" s="71">
        <v>97.65</v>
      </c>
      <c r="O51" s="71">
        <v>-2.9700000000000001E-2</v>
      </c>
      <c r="P51" s="71">
        <v>0.61709999999999998</v>
      </c>
      <c r="Q51" s="71">
        <v>0.36480000000000001</v>
      </c>
      <c r="R51" s="71">
        <v>0.43259999999999998</v>
      </c>
      <c r="S51" s="71">
        <v>1.2224999999999999</v>
      </c>
      <c r="T51" s="71">
        <v>245.16</v>
      </c>
      <c r="U51" s="71">
        <v>0.11219999999999999</v>
      </c>
      <c r="V51" s="71">
        <v>8.484</v>
      </c>
      <c r="W51" s="71">
        <v>-4.899</v>
      </c>
      <c r="X51" s="71">
        <v>785.4</v>
      </c>
      <c r="Y51" s="71">
        <v>6.0299999999999999E-2</v>
      </c>
      <c r="Z51" s="71">
        <v>3.1199999999999999E-2</v>
      </c>
      <c r="AA51" s="71">
        <v>0.68700000000000006</v>
      </c>
      <c r="AB51" s="71">
        <v>0.53369999999999995</v>
      </c>
      <c r="AC51" s="71">
        <v>1.77E-2</v>
      </c>
      <c r="AD51" s="71">
        <v>0.69750000000000001</v>
      </c>
      <c r="AE51" s="71">
        <v>-2.9999999999999997E-4</v>
      </c>
      <c r="AF51" s="71">
        <v>2.3400000000000001E-2</v>
      </c>
      <c r="AG51" s="71">
        <v>0</v>
      </c>
      <c r="AH51" s="71">
        <v>7.1999999999999995E-2</v>
      </c>
      <c r="AI51" s="71">
        <v>0</v>
      </c>
      <c r="AJ51" s="71">
        <v>1.5E-3</v>
      </c>
      <c r="AK51" s="71">
        <v>1.5E-3</v>
      </c>
      <c r="AL51" s="71">
        <v>21.609000000000002</v>
      </c>
      <c r="AM51" s="71">
        <v>0.13200000000000001</v>
      </c>
      <c r="AN51" s="71">
        <v>0.70230000000000004</v>
      </c>
      <c r="AO51" s="71">
        <v>0.1467</v>
      </c>
      <c r="AP51" s="71">
        <v>-2.9999999999999997E-4</v>
      </c>
      <c r="AQ51" s="71">
        <v>13.298999999999999</v>
      </c>
      <c r="AR51" s="71">
        <v>8.9999999999999998E-4</v>
      </c>
      <c r="AS51" s="71">
        <v>1.5E-3</v>
      </c>
      <c r="AT51" s="71">
        <v>0</v>
      </c>
      <c r="AU51" s="71">
        <v>5.9999999999999995E-4</v>
      </c>
      <c r="AV51" s="71">
        <v>-2.9999999999999997E-4</v>
      </c>
      <c r="AW51" s="71">
        <v>0</v>
      </c>
      <c r="AX51" s="71">
        <v>-2.3999999999999998E-3</v>
      </c>
      <c r="AY51" s="71">
        <v>0</v>
      </c>
      <c r="AZ51" s="71">
        <v>0</v>
      </c>
      <c r="BA51" s="77">
        <v>0</v>
      </c>
      <c r="BB51" s="77">
        <v>0</v>
      </c>
      <c r="BC51" s="77">
        <v>0</v>
      </c>
      <c r="BD51" s="77">
        <v>-2.9999999999999997E-4</v>
      </c>
      <c r="BE51" s="77">
        <v>0</v>
      </c>
      <c r="BF51" s="77">
        <v>5.1000000000000004E-3</v>
      </c>
      <c r="BG51" s="77">
        <v>2.9999999999999997E-4</v>
      </c>
      <c r="BH51" s="77">
        <v>5.28E-2</v>
      </c>
      <c r="BI51" s="77">
        <v>-2.9999999999999997E-4</v>
      </c>
      <c r="BJ51" s="77">
        <v>2.9999999999999997E-4</v>
      </c>
      <c r="BK51" s="77">
        <v>0</v>
      </c>
      <c r="BL51" s="77">
        <v>-2.9999999999999997E-4</v>
      </c>
      <c r="BM51" s="77">
        <v>2.0400000000000001E-2</v>
      </c>
      <c r="BN51" s="77">
        <v>7.1400000000000005E-2</v>
      </c>
      <c r="BO51" s="77">
        <v>40.229999999999997</v>
      </c>
      <c r="BP51" s="77">
        <v>1.35E-2</v>
      </c>
      <c r="BQ51" s="77">
        <v>-2.0999999999999999E-3</v>
      </c>
      <c r="BR51" s="79"/>
    </row>
    <row r="52" spans="1:70" ht="15" x14ac:dyDescent="0.25">
      <c r="A52" s="74" t="s">
        <v>186</v>
      </c>
      <c r="B52" s="50" t="s">
        <v>99</v>
      </c>
      <c r="C52" s="75" t="s">
        <v>170</v>
      </c>
      <c r="D52" s="76"/>
      <c r="E52" s="71">
        <v>0.89319999999999999</v>
      </c>
      <c r="F52" s="71">
        <v>1.4E-3</v>
      </c>
      <c r="G52" s="71">
        <v>263.2</v>
      </c>
      <c r="H52" s="71">
        <v>5.0385999999999997</v>
      </c>
      <c r="I52" s="71">
        <v>49700</v>
      </c>
      <c r="J52" s="71">
        <v>-0.90859999999999996</v>
      </c>
      <c r="K52" s="71">
        <v>295.82</v>
      </c>
      <c r="L52" s="71">
        <v>3960600</v>
      </c>
      <c r="M52" s="71">
        <v>3.0562</v>
      </c>
      <c r="N52" s="71">
        <v>318.64</v>
      </c>
      <c r="O52" s="71">
        <v>2.52E-2</v>
      </c>
      <c r="P52" s="71">
        <v>3.0562</v>
      </c>
      <c r="Q52" s="71">
        <v>7.2477999999999998</v>
      </c>
      <c r="R52" s="71">
        <v>0.48299999999999998</v>
      </c>
      <c r="S52" s="71">
        <v>0.47599999999999998</v>
      </c>
      <c r="T52" s="71">
        <v>796.04</v>
      </c>
      <c r="U52" s="71">
        <v>7.0000000000000007E-2</v>
      </c>
      <c r="V52" s="71">
        <v>2.3212000000000002</v>
      </c>
      <c r="W52" s="71">
        <v>71.652000000000001</v>
      </c>
      <c r="X52" s="71">
        <v>21.574000000000002</v>
      </c>
      <c r="Y52" s="71">
        <v>60.241999999999997</v>
      </c>
      <c r="Z52" s="71">
        <v>0.1694</v>
      </c>
      <c r="AA52" s="71">
        <v>0.4158</v>
      </c>
      <c r="AB52" s="71">
        <v>-0.1946</v>
      </c>
      <c r="AC52" s="71">
        <v>2.8000000000000001E-2</v>
      </c>
      <c r="AD52" s="71">
        <v>9.3799999999999994E-2</v>
      </c>
      <c r="AE52" s="71">
        <v>1.4E-2</v>
      </c>
      <c r="AF52" s="71">
        <v>0.18479999999999999</v>
      </c>
      <c r="AG52" s="71">
        <v>0</v>
      </c>
      <c r="AH52" s="71">
        <v>2.1000000000000001E-2</v>
      </c>
      <c r="AI52" s="71">
        <v>1.4E-3</v>
      </c>
      <c r="AJ52" s="71">
        <v>1.4E-3</v>
      </c>
      <c r="AK52" s="71">
        <v>7.9799999999999996E-2</v>
      </c>
      <c r="AL52" s="71">
        <v>-0.68459999999999999</v>
      </c>
      <c r="AM52" s="71">
        <v>-1.6799999999999999E-2</v>
      </c>
      <c r="AN52" s="71">
        <v>-2.8E-3</v>
      </c>
      <c r="AO52" s="71">
        <v>-6.4399999999999999E-2</v>
      </c>
      <c r="AP52" s="71">
        <v>-2.52E-2</v>
      </c>
      <c r="AQ52" s="71">
        <v>9.0747999999999998</v>
      </c>
      <c r="AR52" s="71">
        <v>0.61180000000000001</v>
      </c>
      <c r="AS52" s="71">
        <v>9.9400000000000002E-2</v>
      </c>
      <c r="AT52" s="71">
        <v>8.3999999999999995E-3</v>
      </c>
      <c r="AU52" s="71">
        <v>2.6599999999999999E-2</v>
      </c>
      <c r="AV52" s="71">
        <v>5.5999999999999999E-3</v>
      </c>
      <c r="AW52" s="71">
        <v>0</v>
      </c>
      <c r="AX52" s="71">
        <v>-4.1999999999999997E-3</v>
      </c>
      <c r="AY52" s="71">
        <v>1.4E-3</v>
      </c>
      <c r="AZ52" s="71">
        <v>2.8E-3</v>
      </c>
      <c r="BA52" s="77">
        <v>1.4E-3</v>
      </c>
      <c r="BB52" s="77">
        <v>4.1999999999999997E-3</v>
      </c>
      <c r="BC52" s="77">
        <v>0</v>
      </c>
      <c r="BD52" s="77">
        <v>1.4E-3</v>
      </c>
      <c r="BE52" s="77">
        <v>0</v>
      </c>
      <c r="BF52" s="77">
        <v>0</v>
      </c>
      <c r="BG52" s="77">
        <v>0</v>
      </c>
      <c r="BH52" s="77">
        <v>-0.13300000000000001</v>
      </c>
      <c r="BI52" s="77">
        <v>-2.8E-3</v>
      </c>
      <c r="BJ52" s="77">
        <v>-2.8E-3</v>
      </c>
      <c r="BK52" s="77">
        <v>-4.1999999999999997E-3</v>
      </c>
      <c r="BL52" s="77">
        <v>0</v>
      </c>
      <c r="BM52" s="77">
        <v>0.12039999999999999</v>
      </c>
      <c r="BN52" s="77">
        <v>-5.74E-2</v>
      </c>
      <c r="BO52" s="77">
        <v>-9.2399999999999996E-2</v>
      </c>
      <c r="BP52" s="77">
        <v>0.441</v>
      </c>
      <c r="BQ52" s="77">
        <v>0.105</v>
      </c>
      <c r="BR52" s="79"/>
    </row>
    <row r="53" spans="1:70" ht="15" x14ac:dyDescent="0.25">
      <c r="A53" s="74" t="s">
        <v>186</v>
      </c>
      <c r="B53" s="50" t="s">
        <v>99</v>
      </c>
      <c r="C53" s="75" t="s">
        <v>170</v>
      </c>
      <c r="D53" s="76"/>
      <c r="E53" s="71">
        <v>0.14280000000000001</v>
      </c>
      <c r="F53" s="71">
        <v>0</v>
      </c>
      <c r="G53" s="71">
        <v>265.3</v>
      </c>
      <c r="H53" s="71">
        <v>5.0358000000000001</v>
      </c>
      <c r="I53" s="71">
        <v>50050</v>
      </c>
      <c r="J53" s="71">
        <v>-1.113</v>
      </c>
      <c r="K53" s="71">
        <v>-23.827999999999999</v>
      </c>
      <c r="L53" s="71">
        <v>4289600</v>
      </c>
      <c r="M53" s="71">
        <v>3.2578</v>
      </c>
      <c r="N53" s="71">
        <v>266.83999999999997</v>
      </c>
      <c r="O53" s="71">
        <v>0.1386</v>
      </c>
      <c r="P53" s="71">
        <v>3.2578</v>
      </c>
      <c r="Q53" s="71">
        <v>7.3597999999999999</v>
      </c>
      <c r="R53" s="71">
        <v>0.48720000000000002</v>
      </c>
      <c r="S53" s="71">
        <v>0.47599999999999998</v>
      </c>
      <c r="T53" s="71">
        <v>890.4</v>
      </c>
      <c r="U53" s="71">
        <v>7.1400000000000005E-2</v>
      </c>
      <c r="V53" s="71">
        <v>2.3212000000000002</v>
      </c>
      <c r="W53" s="71">
        <v>16.8</v>
      </c>
      <c r="X53" s="71">
        <v>10.5182</v>
      </c>
      <c r="Y53" s="71">
        <v>60.816000000000003</v>
      </c>
      <c r="Z53" s="71">
        <v>2.3800000000000002E-2</v>
      </c>
      <c r="AA53" s="71">
        <v>0.26600000000000001</v>
      </c>
      <c r="AB53" s="71">
        <v>-0.29260000000000003</v>
      </c>
      <c r="AC53" s="71">
        <v>1.54E-2</v>
      </c>
      <c r="AD53" s="71">
        <v>8.9599999999999999E-2</v>
      </c>
      <c r="AE53" s="71">
        <v>2.3800000000000002E-2</v>
      </c>
      <c r="AF53" s="71">
        <v>0.22539999999999999</v>
      </c>
      <c r="AG53" s="71">
        <v>0</v>
      </c>
      <c r="AH53" s="71">
        <v>3.6400000000000002E-2</v>
      </c>
      <c r="AI53" s="71">
        <v>0</v>
      </c>
      <c r="AJ53" s="71">
        <v>1.4E-3</v>
      </c>
      <c r="AK53" s="71">
        <v>7.2800000000000004E-2</v>
      </c>
      <c r="AL53" s="71">
        <v>-0.77559999999999996</v>
      </c>
      <c r="AM53" s="71">
        <v>-1.8200000000000001E-2</v>
      </c>
      <c r="AN53" s="71">
        <v>-5.5999999999999999E-3</v>
      </c>
      <c r="AO53" s="71">
        <v>-5.8799999999999998E-2</v>
      </c>
      <c r="AP53" s="71">
        <v>-2.52E-2</v>
      </c>
      <c r="AQ53" s="71">
        <v>8.9740000000000002</v>
      </c>
      <c r="AR53" s="71">
        <v>0.75739999999999996</v>
      </c>
      <c r="AS53" s="71">
        <v>0.12740000000000001</v>
      </c>
      <c r="AT53" s="71">
        <v>8.3999999999999995E-3</v>
      </c>
      <c r="AU53" s="71">
        <v>4.6199999999999998E-2</v>
      </c>
      <c r="AV53" s="71">
        <v>7.0000000000000001E-3</v>
      </c>
      <c r="AW53" s="71">
        <v>0</v>
      </c>
      <c r="AX53" s="71">
        <v>-4.1999999999999997E-3</v>
      </c>
      <c r="AY53" s="71">
        <v>1.4E-3</v>
      </c>
      <c r="AZ53" s="71">
        <v>5.5999999999999999E-3</v>
      </c>
      <c r="BA53" s="77">
        <v>1.4E-3</v>
      </c>
      <c r="BB53" s="77">
        <v>4.1999999999999997E-3</v>
      </c>
      <c r="BC53" s="77">
        <v>0</v>
      </c>
      <c r="BD53" s="77">
        <v>0</v>
      </c>
      <c r="BE53" s="77">
        <v>1.4E-3</v>
      </c>
      <c r="BF53" s="77">
        <v>1.4E-3</v>
      </c>
      <c r="BG53" s="77">
        <v>0</v>
      </c>
      <c r="BH53" s="77">
        <v>-0.13439999999999999</v>
      </c>
      <c r="BI53" s="77">
        <v>-2.8E-3</v>
      </c>
      <c r="BJ53" s="77">
        <v>-2.8E-3</v>
      </c>
      <c r="BK53" s="77">
        <v>-4.1999999999999997E-3</v>
      </c>
      <c r="BL53" s="77">
        <v>1.4E-3</v>
      </c>
      <c r="BM53" s="77">
        <v>0.10920000000000001</v>
      </c>
      <c r="BN53" s="77">
        <v>-6.0199999999999997E-2</v>
      </c>
      <c r="BO53" s="77">
        <v>-0.126</v>
      </c>
      <c r="BP53" s="77">
        <v>1.1830000000000001</v>
      </c>
      <c r="BQ53" s="77">
        <v>0.14419999999999999</v>
      </c>
      <c r="BR53" s="79"/>
    </row>
    <row r="54" spans="1:70" ht="15" x14ac:dyDescent="0.25">
      <c r="A54" s="74" t="s">
        <v>186</v>
      </c>
      <c r="B54" s="50" t="s">
        <v>99</v>
      </c>
      <c r="C54" s="75" t="s">
        <v>170</v>
      </c>
      <c r="D54" s="76"/>
      <c r="E54" s="71">
        <v>0.50819999999999999</v>
      </c>
      <c r="F54" s="71">
        <v>0</v>
      </c>
      <c r="G54" s="71">
        <v>262.08</v>
      </c>
      <c r="H54" s="71">
        <v>4.9560000000000004</v>
      </c>
      <c r="I54" s="71">
        <v>50148</v>
      </c>
      <c r="J54" s="71">
        <v>-0.69440000000000002</v>
      </c>
      <c r="K54" s="71">
        <v>256.2</v>
      </c>
      <c r="L54" s="71">
        <v>4453400</v>
      </c>
      <c r="M54" s="71">
        <v>3.2368000000000001</v>
      </c>
      <c r="N54" s="71">
        <v>252.42</v>
      </c>
      <c r="O54" s="71">
        <v>0.14699999999999999</v>
      </c>
      <c r="P54" s="71">
        <v>3.2368000000000001</v>
      </c>
      <c r="Q54" s="71">
        <v>7.3864000000000001</v>
      </c>
      <c r="R54" s="71">
        <v>0.48159999999999997</v>
      </c>
      <c r="S54" s="71">
        <v>0.48020000000000002</v>
      </c>
      <c r="T54" s="71">
        <v>903.42</v>
      </c>
      <c r="U54" s="71">
        <v>7.1400000000000005E-2</v>
      </c>
      <c r="V54" s="71">
        <v>2.2988</v>
      </c>
      <c r="W54" s="71">
        <v>3.7155999999999998</v>
      </c>
      <c r="X54" s="71">
        <v>3.3361999999999998</v>
      </c>
      <c r="Y54" s="71">
        <v>62.747999999999998</v>
      </c>
      <c r="Z54" s="71">
        <v>0.12039999999999999</v>
      </c>
      <c r="AA54" s="71">
        <v>0.2324</v>
      </c>
      <c r="AB54" s="71">
        <v>-0.3024</v>
      </c>
      <c r="AC54" s="71">
        <v>1.54E-2</v>
      </c>
      <c r="AD54" s="71">
        <v>9.0999999999999998E-2</v>
      </c>
      <c r="AE54" s="71">
        <v>1.6799999999999999E-2</v>
      </c>
      <c r="AF54" s="71">
        <v>0.23799999999999999</v>
      </c>
      <c r="AG54" s="71">
        <v>0</v>
      </c>
      <c r="AH54" s="71">
        <v>3.3599999999999998E-2</v>
      </c>
      <c r="AI54" s="71">
        <v>0</v>
      </c>
      <c r="AJ54" s="71">
        <v>0</v>
      </c>
      <c r="AK54" s="71">
        <v>6.3E-2</v>
      </c>
      <c r="AL54" s="71">
        <v>-0.79800000000000004</v>
      </c>
      <c r="AM54" s="71">
        <v>-1.6799999999999999E-2</v>
      </c>
      <c r="AN54" s="71">
        <v>-7.0000000000000001E-3</v>
      </c>
      <c r="AO54" s="71">
        <v>-6.0199999999999997E-2</v>
      </c>
      <c r="AP54" s="71">
        <v>-2.52E-2</v>
      </c>
      <c r="AQ54" s="71">
        <v>9.6123999999999992</v>
      </c>
      <c r="AR54" s="71">
        <v>0.71960000000000002</v>
      </c>
      <c r="AS54" s="71">
        <v>0.1148</v>
      </c>
      <c r="AT54" s="71">
        <v>8.3999999999999995E-3</v>
      </c>
      <c r="AU54" s="71">
        <v>3.0800000000000001E-2</v>
      </c>
      <c r="AV54" s="71">
        <v>4.1999999999999997E-3</v>
      </c>
      <c r="AW54" s="71">
        <v>0</v>
      </c>
      <c r="AX54" s="71">
        <v>-5.5999999999999999E-3</v>
      </c>
      <c r="AY54" s="71">
        <v>1.4E-3</v>
      </c>
      <c r="AZ54" s="71">
        <v>7.0000000000000001E-3</v>
      </c>
      <c r="BA54" s="77">
        <v>1.4E-3</v>
      </c>
      <c r="BB54" s="77">
        <v>2.8E-3</v>
      </c>
      <c r="BC54" s="77">
        <v>0</v>
      </c>
      <c r="BD54" s="77">
        <v>0</v>
      </c>
      <c r="BE54" s="77">
        <v>0</v>
      </c>
      <c r="BF54" s="77">
        <v>1.4E-3</v>
      </c>
      <c r="BG54" s="77">
        <v>0</v>
      </c>
      <c r="BH54" s="77">
        <v>-0.13439999999999999</v>
      </c>
      <c r="BI54" s="77">
        <v>-2.8E-3</v>
      </c>
      <c r="BJ54" s="77">
        <v>-2.8E-3</v>
      </c>
      <c r="BK54" s="77">
        <v>-4.1999999999999997E-3</v>
      </c>
      <c r="BL54" s="77">
        <v>0</v>
      </c>
      <c r="BM54" s="77">
        <v>0.1008</v>
      </c>
      <c r="BN54" s="77">
        <v>-6.0199999999999997E-2</v>
      </c>
      <c r="BO54" s="77">
        <v>-0.1288</v>
      </c>
      <c r="BP54" s="77">
        <v>1.5246</v>
      </c>
      <c r="BQ54" s="77">
        <v>0.14280000000000001</v>
      </c>
      <c r="BR54" s="79"/>
    </row>
    <row r="55" spans="1:70" ht="15" x14ac:dyDescent="0.25">
      <c r="A55" s="74" t="s">
        <v>187</v>
      </c>
      <c r="B55" s="50" t="s">
        <v>100</v>
      </c>
      <c r="C55" s="75" t="s">
        <v>170</v>
      </c>
      <c r="D55" s="76"/>
      <c r="E55" s="71">
        <v>0.55359999999999998</v>
      </c>
      <c r="F55" s="71">
        <v>0.10680000000000001</v>
      </c>
      <c r="G55" s="71">
        <v>203.64</v>
      </c>
      <c r="H55" s="71">
        <v>156.96</v>
      </c>
      <c r="I55" s="71">
        <v>349.44</v>
      </c>
      <c r="J55" s="71">
        <v>32.340000000000003</v>
      </c>
      <c r="K55" s="71">
        <v>2099.6</v>
      </c>
      <c r="L55" s="71">
        <v>1429200</v>
      </c>
      <c r="M55" s="71">
        <v>55.96</v>
      </c>
      <c r="N55" s="71">
        <v>351.52</v>
      </c>
      <c r="O55" s="71">
        <v>0.78520000000000001</v>
      </c>
      <c r="P55" s="71">
        <v>55.96</v>
      </c>
      <c r="Q55" s="71">
        <v>1.0644</v>
      </c>
      <c r="R55" s="71">
        <v>1.6248</v>
      </c>
      <c r="S55" s="71">
        <v>92.44</v>
      </c>
      <c r="T55" s="71">
        <v>522.79999999999995</v>
      </c>
      <c r="U55" s="71">
        <v>1.9152</v>
      </c>
      <c r="V55" s="71">
        <v>5.1559999999999997</v>
      </c>
      <c r="W55" s="71">
        <v>57.96</v>
      </c>
      <c r="X55" s="71">
        <v>193.92</v>
      </c>
      <c r="Y55" s="71">
        <v>7.3999999999999996E-2</v>
      </c>
      <c r="Z55" s="71">
        <v>6.8400000000000002E-2</v>
      </c>
      <c r="AA55" s="71">
        <v>0.626</v>
      </c>
      <c r="AB55" s="71">
        <v>0.9768</v>
      </c>
      <c r="AC55" s="71">
        <v>3.04E-2</v>
      </c>
      <c r="AD55" s="71">
        <v>32.387999999999998</v>
      </c>
      <c r="AE55" s="71">
        <v>1.538</v>
      </c>
      <c r="AF55" s="71">
        <v>1.5880000000000001</v>
      </c>
      <c r="AG55" s="71">
        <v>0</v>
      </c>
      <c r="AH55" s="71">
        <v>0.34079999999999999</v>
      </c>
      <c r="AI55" s="71">
        <v>4.0000000000000002E-4</v>
      </c>
      <c r="AJ55" s="71">
        <v>0</v>
      </c>
      <c r="AK55" s="71">
        <v>7.9200000000000007E-2</v>
      </c>
      <c r="AL55" s="71">
        <v>-2.4400000000000002E-2</v>
      </c>
      <c r="AM55" s="71">
        <v>-4.0000000000000002E-4</v>
      </c>
      <c r="AN55" s="71">
        <v>8.0000000000000002E-3</v>
      </c>
      <c r="AO55" s="71">
        <v>-1.1599999999999999E-2</v>
      </c>
      <c r="AP55" s="71">
        <v>-4.4000000000000003E-3</v>
      </c>
      <c r="AQ55" s="71">
        <v>25.388000000000002</v>
      </c>
      <c r="AR55" s="71">
        <v>1.36</v>
      </c>
      <c r="AS55" s="71">
        <v>3.2235999999999998</v>
      </c>
      <c r="AT55" s="71">
        <v>0.32079999999999997</v>
      </c>
      <c r="AU55" s="71">
        <v>1.3288</v>
      </c>
      <c r="AV55" s="71">
        <v>0.28360000000000002</v>
      </c>
      <c r="AW55" s="71">
        <v>5.8799999999999998E-2</v>
      </c>
      <c r="AX55" s="71">
        <v>0.29920000000000002</v>
      </c>
      <c r="AY55" s="71">
        <v>4.24E-2</v>
      </c>
      <c r="AZ55" s="71">
        <v>0.26279999999999998</v>
      </c>
      <c r="BA55" s="77">
        <v>4.8399999999999999E-2</v>
      </c>
      <c r="BB55" s="77">
        <v>0.13600000000000001</v>
      </c>
      <c r="BC55" s="77">
        <v>1.7999999999999999E-2</v>
      </c>
      <c r="BD55" s="77">
        <v>0.1076</v>
      </c>
      <c r="BE55" s="77">
        <v>1.44E-2</v>
      </c>
      <c r="BF55" s="77">
        <v>9.7600000000000006E-2</v>
      </c>
      <c r="BG55" s="77">
        <v>4.0000000000000002E-4</v>
      </c>
      <c r="BH55" s="77">
        <v>0.13039999999999999</v>
      </c>
      <c r="BI55" s="77">
        <v>9.1999999999999998E-3</v>
      </c>
      <c r="BJ55" s="77">
        <v>-4.0000000000000002E-4</v>
      </c>
      <c r="BK55" s="77">
        <v>-8.0000000000000004E-4</v>
      </c>
      <c r="BL55" s="77">
        <v>8.0000000000000004E-4</v>
      </c>
      <c r="BM55" s="77">
        <v>7.8E-2</v>
      </c>
      <c r="BN55" s="77">
        <v>-9.5999999999999992E-3</v>
      </c>
      <c r="BO55" s="77">
        <v>5.6000000000000001E-2</v>
      </c>
      <c r="BP55" s="77">
        <v>7.2640000000000002</v>
      </c>
      <c r="BQ55" s="77">
        <v>0.39360000000000001</v>
      </c>
      <c r="BR55" s="79"/>
    </row>
    <row r="56" spans="1:70" ht="15" x14ac:dyDescent="0.25">
      <c r="A56" s="74" t="s">
        <v>187</v>
      </c>
      <c r="B56" s="50" t="s">
        <v>100</v>
      </c>
      <c r="C56" s="75" t="s">
        <v>170</v>
      </c>
      <c r="D56" s="76"/>
      <c r="E56" s="71">
        <v>0.35239999999999999</v>
      </c>
      <c r="F56" s="71">
        <v>0.11559999999999999</v>
      </c>
      <c r="G56" s="71">
        <v>204.72</v>
      </c>
      <c r="H56" s="71">
        <v>162.56</v>
      </c>
      <c r="I56" s="71">
        <v>333.72</v>
      </c>
      <c r="J56" s="71">
        <v>34.968000000000004</v>
      </c>
      <c r="K56" s="71">
        <v>1990.8</v>
      </c>
      <c r="L56" s="71">
        <v>1529600</v>
      </c>
      <c r="M56" s="71">
        <v>58.08</v>
      </c>
      <c r="N56" s="71">
        <v>358.76</v>
      </c>
      <c r="O56" s="71">
        <v>0.91239999999999999</v>
      </c>
      <c r="P56" s="71">
        <v>58.08</v>
      </c>
      <c r="Q56" s="71">
        <v>1.0571999999999999</v>
      </c>
      <c r="R56" s="71">
        <v>1.6839999999999999</v>
      </c>
      <c r="S56" s="71">
        <v>95.08</v>
      </c>
      <c r="T56" s="71">
        <v>530</v>
      </c>
      <c r="U56" s="71">
        <v>1.982</v>
      </c>
      <c r="V56" s="71">
        <v>5.2960000000000003</v>
      </c>
      <c r="W56" s="71">
        <v>43.56</v>
      </c>
      <c r="X56" s="71">
        <v>191.64</v>
      </c>
      <c r="Y56" s="71">
        <v>5.4800000000000001E-2</v>
      </c>
      <c r="Z56" s="71">
        <v>7.1199999999999999E-2</v>
      </c>
      <c r="AA56" s="71">
        <v>0.60919999999999996</v>
      </c>
      <c r="AB56" s="71">
        <v>0.72919999999999996</v>
      </c>
      <c r="AC56" s="71">
        <v>2.92E-2</v>
      </c>
      <c r="AD56" s="71">
        <v>33.468000000000004</v>
      </c>
      <c r="AE56" s="71">
        <v>1.7223999999999999</v>
      </c>
      <c r="AF56" s="71">
        <v>1.2847999999999999</v>
      </c>
      <c r="AG56" s="71">
        <v>0</v>
      </c>
      <c r="AH56" s="71">
        <v>0.34439999999999998</v>
      </c>
      <c r="AI56" s="71">
        <v>0</v>
      </c>
      <c r="AJ56" s="71">
        <v>0</v>
      </c>
      <c r="AK56" s="71">
        <v>6.5199999999999994E-2</v>
      </c>
      <c r="AL56" s="71">
        <v>-0.1144</v>
      </c>
      <c r="AM56" s="71">
        <v>-1.1999999999999999E-3</v>
      </c>
      <c r="AN56" s="71">
        <v>6.0000000000000001E-3</v>
      </c>
      <c r="AO56" s="71">
        <v>-5.5999999999999999E-3</v>
      </c>
      <c r="AP56" s="71">
        <v>-4.0000000000000001E-3</v>
      </c>
      <c r="AQ56" s="71">
        <v>24.364000000000001</v>
      </c>
      <c r="AR56" s="71">
        <v>1.5176000000000001</v>
      </c>
      <c r="AS56" s="71">
        <v>3.5836000000000001</v>
      </c>
      <c r="AT56" s="71">
        <v>0.35880000000000001</v>
      </c>
      <c r="AU56" s="71">
        <v>1.498</v>
      </c>
      <c r="AV56" s="71">
        <v>0.31080000000000002</v>
      </c>
      <c r="AW56" s="71">
        <v>6.7199999999999996E-2</v>
      </c>
      <c r="AX56" s="71">
        <v>0.34320000000000001</v>
      </c>
      <c r="AY56" s="71">
        <v>4.8800000000000003E-2</v>
      </c>
      <c r="AZ56" s="71">
        <v>0.28520000000000001</v>
      </c>
      <c r="BA56" s="77">
        <v>5.4800000000000001E-2</v>
      </c>
      <c r="BB56" s="77">
        <v>0.152</v>
      </c>
      <c r="BC56" s="77">
        <v>0.02</v>
      </c>
      <c r="BD56" s="77">
        <v>0.1188</v>
      </c>
      <c r="BE56" s="77">
        <v>1.6E-2</v>
      </c>
      <c r="BF56" s="77">
        <v>7.3599999999999999E-2</v>
      </c>
      <c r="BG56" s="77">
        <v>4.0000000000000002E-4</v>
      </c>
      <c r="BH56" s="77">
        <v>0.14480000000000001</v>
      </c>
      <c r="BI56" s="77">
        <v>8.3999999999999995E-3</v>
      </c>
      <c r="BJ56" s="77">
        <v>-8.0000000000000004E-4</v>
      </c>
      <c r="BK56" s="77">
        <v>-8.0000000000000004E-4</v>
      </c>
      <c r="BL56" s="77">
        <v>8.0000000000000004E-4</v>
      </c>
      <c r="BM56" s="77">
        <v>6.9599999999999995E-2</v>
      </c>
      <c r="BN56" s="77">
        <v>-1.04E-2</v>
      </c>
      <c r="BO56" s="77">
        <v>4.8000000000000001E-2</v>
      </c>
      <c r="BP56" s="77">
        <v>5.5759999999999996</v>
      </c>
      <c r="BQ56" s="77">
        <v>0.44080000000000003</v>
      </c>
      <c r="BR56" s="79"/>
    </row>
    <row r="57" spans="1:70" ht="15" x14ac:dyDescent="0.25">
      <c r="A57" s="74" t="s">
        <v>187</v>
      </c>
      <c r="B57" s="50" t="s">
        <v>100</v>
      </c>
      <c r="C57" s="75" t="s">
        <v>170</v>
      </c>
      <c r="D57" s="76"/>
      <c r="E57" s="71">
        <v>0.47199999999999998</v>
      </c>
      <c r="F57" s="71">
        <v>0.108</v>
      </c>
      <c r="G57" s="71">
        <v>202.92</v>
      </c>
      <c r="H57" s="71">
        <v>157.56</v>
      </c>
      <c r="I57" s="71">
        <v>326.44</v>
      </c>
      <c r="J57" s="71">
        <v>32.508000000000003</v>
      </c>
      <c r="K57" s="71">
        <v>2077.6</v>
      </c>
      <c r="L57" s="71">
        <v>1506000</v>
      </c>
      <c r="M57" s="71">
        <v>56.68</v>
      </c>
      <c r="N57" s="71">
        <v>359.56</v>
      </c>
      <c r="O57" s="71">
        <v>0.95040000000000002</v>
      </c>
      <c r="P57" s="71">
        <v>56.68</v>
      </c>
      <c r="Q57" s="71">
        <v>1.0444</v>
      </c>
      <c r="R57" s="71">
        <v>1.6240000000000001</v>
      </c>
      <c r="S57" s="71">
        <v>93.84</v>
      </c>
      <c r="T57" s="71">
        <v>518.4</v>
      </c>
      <c r="U57" s="71">
        <v>1.9443999999999999</v>
      </c>
      <c r="V57" s="71">
        <v>5.1760000000000002</v>
      </c>
      <c r="W57" s="71">
        <v>44.72</v>
      </c>
      <c r="X57" s="71">
        <v>188.2</v>
      </c>
      <c r="Y57" s="71">
        <v>6.3200000000000006E-2</v>
      </c>
      <c r="Z57" s="71">
        <v>6.5199999999999994E-2</v>
      </c>
      <c r="AA57" s="71">
        <v>0.59599999999999997</v>
      </c>
      <c r="AB57" s="71">
        <v>0.86480000000000001</v>
      </c>
      <c r="AC57" s="71">
        <v>2.7199999999999998E-2</v>
      </c>
      <c r="AD57" s="71">
        <v>33.564</v>
      </c>
      <c r="AE57" s="71">
        <v>1.7456</v>
      </c>
      <c r="AF57" s="71">
        <v>1.1588000000000001</v>
      </c>
      <c r="AG57" s="71">
        <v>0</v>
      </c>
      <c r="AH57" s="71">
        <v>0.33560000000000001</v>
      </c>
      <c r="AI57" s="71">
        <v>0</v>
      </c>
      <c r="AJ57" s="71">
        <v>4.0000000000000002E-4</v>
      </c>
      <c r="AK57" s="71">
        <v>6.5600000000000006E-2</v>
      </c>
      <c r="AL57" s="71">
        <v>-0.13800000000000001</v>
      </c>
      <c r="AM57" s="71">
        <v>-1.1999999999999999E-3</v>
      </c>
      <c r="AN57" s="71">
        <v>7.6E-3</v>
      </c>
      <c r="AO57" s="71">
        <v>-1.6799999999999999E-2</v>
      </c>
      <c r="AP57" s="71">
        <v>-4.0000000000000001E-3</v>
      </c>
      <c r="AQ57" s="71">
        <v>24.12</v>
      </c>
      <c r="AR57" s="71">
        <v>1.5404</v>
      </c>
      <c r="AS57" s="71">
        <v>3.6444000000000001</v>
      </c>
      <c r="AT57" s="71">
        <v>0.37080000000000002</v>
      </c>
      <c r="AU57" s="71">
        <v>1.5267999999999999</v>
      </c>
      <c r="AV57" s="71">
        <v>0.3236</v>
      </c>
      <c r="AW57" s="71">
        <v>7.0000000000000007E-2</v>
      </c>
      <c r="AX57" s="71">
        <v>0.34560000000000002</v>
      </c>
      <c r="AY57" s="71">
        <v>4.9599999999999998E-2</v>
      </c>
      <c r="AZ57" s="71">
        <v>0.30080000000000001</v>
      </c>
      <c r="BA57" s="77">
        <v>5.6800000000000003E-2</v>
      </c>
      <c r="BB57" s="77">
        <v>0.1512</v>
      </c>
      <c r="BC57" s="77">
        <v>2.0400000000000001E-2</v>
      </c>
      <c r="BD57" s="77">
        <v>0.1192</v>
      </c>
      <c r="BE57" s="77">
        <v>1.6E-2</v>
      </c>
      <c r="BF57" s="77">
        <v>7.0000000000000007E-2</v>
      </c>
      <c r="BG57" s="77">
        <v>4.0000000000000002E-4</v>
      </c>
      <c r="BH57" s="77">
        <v>0.13800000000000001</v>
      </c>
      <c r="BI57" s="77">
        <v>8.3999999999999995E-3</v>
      </c>
      <c r="BJ57" s="77">
        <v>-8.0000000000000004E-4</v>
      </c>
      <c r="BK57" s="77">
        <v>-8.0000000000000004E-4</v>
      </c>
      <c r="BL57" s="77">
        <v>8.0000000000000004E-4</v>
      </c>
      <c r="BM57" s="77">
        <v>6.6000000000000003E-2</v>
      </c>
      <c r="BN57" s="77">
        <v>-1.04E-2</v>
      </c>
      <c r="BO57" s="77">
        <v>4.3999999999999997E-2</v>
      </c>
      <c r="BP57" s="77">
        <v>4.8120000000000003</v>
      </c>
      <c r="BQ57" s="77">
        <v>0.44679999999999997</v>
      </c>
      <c r="BR57" s="79"/>
    </row>
    <row r="58" spans="1:70" ht="15" x14ac:dyDescent="0.25">
      <c r="A58" s="74" t="s">
        <v>188</v>
      </c>
      <c r="B58" s="50" t="s">
        <v>77</v>
      </c>
      <c r="C58" s="75" t="s">
        <v>170</v>
      </c>
      <c r="D58" s="76"/>
      <c r="E58" s="71">
        <v>0.77839999999999998</v>
      </c>
      <c r="F58" s="71">
        <v>2.8E-3</v>
      </c>
      <c r="G58" s="71">
        <v>286.58</v>
      </c>
      <c r="H58" s="71">
        <v>6.2103999999999999</v>
      </c>
      <c r="I58" s="71">
        <v>63602</v>
      </c>
      <c r="J58" s="71">
        <v>6.6821999999999999</v>
      </c>
      <c r="K58" s="71">
        <v>465.5</v>
      </c>
      <c r="L58" s="71">
        <v>3995600</v>
      </c>
      <c r="M58" s="71">
        <v>3.8233999999999999</v>
      </c>
      <c r="N58" s="71">
        <v>755.58</v>
      </c>
      <c r="O58" s="71">
        <v>2.1112000000000002</v>
      </c>
      <c r="P58" s="71">
        <v>3.8233999999999999</v>
      </c>
      <c r="Q58" s="71">
        <v>7.6272000000000002</v>
      </c>
      <c r="R58" s="71">
        <v>1.3846000000000001</v>
      </c>
      <c r="S58" s="71">
        <v>4.3987999999999996</v>
      </c>
      <c r="T58" s="71">
        <v>6935.6</v>
      </c>
      <c r="U58" s="71">
        <v>8.9599999999999999E-2</v>
      </c>
      <c r="V58" s="71">
        <v>1.6015999999999999</v>
      </c>
      <c r="W58" s="71">
        <v>1.8200000000000001E-2</v>
      </c>
      <c r="X58" s="71">
        <v>191.66</v>
      </c>
      <c r="Y58" s="71">
        <v>54.963999999999999</v>
      </c>
      <c r="Z58" s="71">
        <v>0.45079999999999998</v>
      </c>
      <c r="AA58" s="71">
        <v>4.2644000000000002</v>
      </c>
      <c r="AB58" s="71">
        <v>-0.2898</v>
      </c>
      <c r="AC58" s="71">
        <v>2.8000000000000001E-2</v>
      </c>
      <c r="AD58" s="71">
        <v>0.25619999999999998</v>
      </c>
      <c r="AE58" s="71">
        <v>3.3599999999999998E-2</v>
      </c>
      <c r="AF58" s="71">
        <v>0.62580000000000002</v>
      </c>
      <c r="AG58" s="71">
        <v>0</v>
      </c>
      <c r="AH58" s="71">
        <v>0.2324</v>
      </c>
      <c r="AI58" s="71">
        <v>0.31640000000000001</v>
      </c>
      <c r="AJ58" s="71">
        <v>0</v>
      </c>
      <c r="AK58" s="71">
        <v>0.95899999999999996</v>
      </c>
      <c r="AL58" s="71">
        <v>-0.69579999999999997</v>
      </c>
      <c r="AM58" s="71">
        <v>-1.8200000000000001E-2</v>
      </c>
      <c r="AN58" s="71">
        <v>2.8E-3</v>
      </c>
      <c r="AO58" s="71">
        <v>-6.4399999999999999E-2</v>
      </c>
      <c r="AP58" s="71">
        <v>-2.52E-2</v>
      </c>
      <c r="AQ58" s="71">
        <v>7.6692</v>
      </c>
      <c r="AR58" s="71">
        <v>0.42</v>
      </c>
      <c r="AS58" s="71">
        <v>0.33179999999999998</v>
      </c>
      <c r="AT58" s="71">
        <v>1.9599999999999999E-2</v>
      </c>
      <c r="AU58" s="71">
        <v>0.14000000000000001</v>
      </c>
      <c r="AV58" s="71">
        <v>2.52E-2</v>
      </c>
      <c r="AW58" s="71">
        <v>0</v>
      </c>
      <c r="AX58" s="71">
        <v>1.54E-2</v>
      </c>
      <c r="AY58" s="71">
        <v>8.3999999999999995E-3</v>
      </c>
      <c r="AZ58" s="71">
        <v>1.6799999999999999E-2</v>
      </c>
      <c r="BA58" s="77">
        <v>2.8E-3</v>
      </c>
      <c r="BB58" s="77">
        <v>1.6799999999999999E-2</v>
      </c>
      <c r="BC58" s="77">
        <v>0</v>
      </c>
      <c r="BD58" s="77">
        <v>1.6799999999999999E-2</v>
      </c>
      <c r="BE58" s="77">
        <v>1.12E-2</v>
      </c>
      <c r="BF58" s="77">
        <v>9.7999999999999997E-3</v>
      </c>
      <c r="BG58" s="77">
        <v>0</v>
      </c>
      <c r="BH58" s="77">
        <v>-0.1022</v>
      </c>
      <c r="BI58" s="77">
        <v>-2.8E-3</v>
      </c>
      <c r="BJ58" s="77">
        <v>-2.8E-3</v>
      </c>
      <c r="BK58" s="77">
        <v>-4.1999999999999997E-3</v>
      </c>
      <c r="BL58" s="77">
        <v>7.5600000000000001E-2</v>
      </c>
      <c r="BM58" s="77">
        <v>1.3271999999999999</v>
      </c>
      <c r="BN58" s="77">
        <v>-2.24E-2</v>
      </c>
      <c r="BO58" s="77">
        <v>-0.13159999999999999</v>
      </c>
      <c r="BP58" s="77">
        <v>0.78959999999999997</v>
      </c>
      <c r="BQ58" s="77">
        <v>0.32619999999999999</v>
      </c>
      <c r="BR58" s="79"/>
    </row>
    <row r="59" spans="1:70" ht="15" x14ac:dyDescent="0.25">
      <c r="A59" s="74" t="s">
        <v>188</v>
      </c>
      <c r="B59" s="50" t="s">
        <v>77</v>
      </c>
      <c r="C59" s="75" t="s">
        <v>170</v>
      </c>
      <c r="D59" s="76"/>
      <c r="E59" s="71">
        <v>0.86799999999999999</v>
      </c>
      <c r="F59" s="71">
        <v>1.4E-3</v>
      </c>
      <c r="G59" s="71">
        <v>285.04000000000002</v>
      </c>
      <c r="H59" s="71">
        <v>6.1921999999999997</v>
      </c>
      <c r="I59" s="71">
        <v>63896</v>
      </c>
      <c r="J59" s="71">
        <v>7.7294</v>
      </c>
      <c r="K59" s="71">
        <v>459.62</v>
      </c>
      <c r="L59" s="71">
        <v>4039000</v>
      </c>
      <c r="M59" s="71">
        <v>4.0586000000000002</v>
      </c>
      <c r="N59" s="71">
        <v>745.5</v>
      </c>
      <c r="O59" s="71">
        <v>0.10780000000000001</v>
      </c>
      <c r="P59" s="71">
        <v>4.0586000000000002</v>
      </c>
      <c r="Q59" s="71">
        <v>7.8414000000000001</v>
      </c>
      <c r="R59" s="71">
        <v>1.3846000000000001</v>
      </c>
      <c r="S59" s="71">
        <v>4.3064</v>
      </c>
      <c r="T59" s="71">
        <v>7103.6</v>
      </c>
      <c r="U59" s="71">
        <v>8.8200000000000001E-2</v>
      </c>
      <c r="V59" s="71">
        <v>1.5848</v>
      </c>
      <c r="W59" s="71">
        <v>-6.5030000000000001</v>
      </c>
      <c r="X59" s="71">
        <v>169.4</v>
      </c>
      <c r="Y59" s="71">
        <v>55.006</v>
      </c>
      <c r="Z59" s="71">
        <v>0.48720000000000002</v>
      </c>
      <c r="AA59" s="71">
        <v>4.3567999999999998</v>
      </c>
      <c r="AB59" s="71">
        <v>-0.2576</v>
      </c>
      <c r="AC59" s="71">
        <v>2.6599999999999999E-2</v>
      </c>
      <c r="AD59" s="71">
        <v>0.25900000000000001</v>
      </c>
      <c r="AE59" s="71">
        <v>7.9799999999999996E-2</v>
      </c>
      <c r="AF59" s="71">
        <v>0.65939999999999999</v>
      </c>
      <c r="AG59" s="71">
        <v>0</v>
      </c>
      <c r="AH59" s="71">
        <v>0.2394</v>
      </c>
      <c r="AI59" s="71">
        <v>2.8E-3</v>
      </c>
      <c r="AJ59" s="71">
        <v>0</v>
      </c>
      <c r="AK59" s="71">
        <v>0.21</v>
      </c>
      <c r="AL59" s="71">
        <v>-0.77839999999999998</v>
      </c>
      <c r="AM59" s="71">
        <v>-1.8200000000000001E-2</v>
      </c>
      <c r="AN59" s="71">
        <v>1.4E-3</v>
      </c>
      <c r="AO59" s="71">
        <v>-6.5799999999999997E-2</v>
      </c>
      <c r="AP59" s="71">
        <v>-2.52E-2</v>
      </c>
      <c r="AQ59" s="71">
        <v>7.5838000000000001</v>
      </c>
      <c r="AR59" s="71">
        <v>0.72519999999999996</v>
      </c>
      <c r="AS59" s="71">
        <v>0.53200000000000003</v>
      </c>
      <c r="AT59" s="71">
        <v>2.3800000000000002E-2</v>
      </c>
      <c r="AU59" s="71">
        <v>9.5200000000000007E-2</v>
      </c>
      <c r="AV59" s="71">
        <v>1.6799999999999999E-2</v>
      </c>
      <c r="AW59" s="71">
        <v>4.1999999999999997E-3</v>
      </c>
      <c r="AX59" s="71">
        <v>5.5999999999999999E-3</v>
      </c>
      <c r="AY59" s="71">
        <v>2.8E-3</v>
      </c>
      <c r="AZ59" s="71">
        <v>1.54E-2</v>
      </c>
      <c r="BA59" s="77">
        <v>4.1999999999999997E-3</v>
      </c>
      <c r="BB59" s="77">
        <v>7.0000000000000001E-3</v>
      </c>
      <c r="BC59" s="77">
        <v>1.4E-3</v>
      </c>
      <c r="BD59" s="77">
        <v>2.8E-3</v>
      </c>
      <c r="BE59" s="77">
        <v>1.4E-3</v>
      </c>
      <c r="BF59" s="77">
        <v>9.7999999999999997E-3</v>
      </c>
      <c r="BG59" s="77">
        <v>0</v>
      </c>
      <c r="BH59" s="77">
        <v>-0.10639999999999999</v>
      </c>
      <c r="BI59" s="77">
        <v>-2.8E-3</v>
      </c>
      <c r="BJ59" s="77">
        <v>-2.8E-3</v>
      </c>
      <c r="BK59" s="77">
        <v>-4.1999999999999997E-3</v>
      </c>
      <c r="BL59" s="77">
        <v>5.5999999999999999E-3</v>
      </c>
      <c r="BM59" s="77">
        <v>0.74760000000000004</v>
      </c>
      <c r="BN59" s="77">
        <v>-3.5000000000000003E-2</v>
      </c>
      <c r="BO59" s="77">
        <v>-0.13159999999999999</v>
      </c>
      <c r="BP59" s="77">
        <v>7.1400000000000005E-2</v>
      </c>
      <c r="BQ59" s="77">
        <v>0.31359999999999999</v>
      </c>
      <c r="BR59" s="79"/>
    </row>
    <row r="60" spans="1:70" ht="15" x14ac:dyDescent="0.25">
      <c r="A60" s="74" t="s">
        <v>188</v>
      </c>
      <c r="B60" s="50" t="s">
        <v>77</v>
      </c>
      <c r="C60" s="75" t="s">
        <v>170</v>
      </c>
      <c r="D60" s="76"/>
      <c r="E60" s="71">
        <v>0.76719999999999999</v>
      </c>
      <c r="F60" s="71">
        <v>1.4E-3</v>
      </c>
      <c r="G60" s="71">
        <v>277.48</v>
      </c>
      <c r="H60" s="71">
        <v>6.0115999999999996</v>
      </c>
      <c r="I60" s="71">
        <v>63210</v>
      </c>
      <c r="J60" s="71">
        <v>7.4311999999999996</v>
      </c>
      <c r="K60" s="71">
        <v>483.42</v>
      </c>
      <c r="L60" s="71">
        <v>3999800</v>
      </c>
      <c r="M60" s="71">
        <v>4.0865999999999998</v>
      </c>
      <c r="N60" s="71">
        <v>733.6</v>
      </c>
      <c r="O60" s="71">
        <v>0.17219999999999999</v>
      </c>
      <c r="P60" s="71">
        <v>4.0865999999999998</v>
      </c>
      <c r="Q60" s="71">
        <v>7.8609999999999998</v>
      </c>
      <c r="R60" s="71">
        <v>1.3762000000000001</v>
      </c>
      <c r="S60" s="71">
        <v>4.2742000000000004</v>
      </c>
      <c r="T60" s="71">
        <v>6991.6</v>
      </c>
      <c r="U60" s="71">
        <v>8.8200000000000001E-2</v>
      </c>
      <c r="V60" s="71">
        <v>1.5708</v>
      </c>
      <c r="W60" s="71">
        <v>-7.4480000000000004</v>
      </c>
      <c r="X60" s="71">
        <v>164.5</v>
      </c>
      <c r="Y60" s="71">
        <v>54.753999999999998</v>
      </c>
      <c r="Z60" s="71">
        <v>0.43120000000000003</v>
      </c>
      <c r="AA60" s="71">
        <v>4.2027999999999999</v>
      </c>
      <c r="AB60" s="71">
        <v>-0.30940000000000001</v>
      </c>
      <c r="AC60" s="71">
        <v>2.6599999999999999E-2</v>
      </c>
      <c r="AD60" s="71">
        <v>0.25340000000000001</v>
      </c>
      <c r="AE60" s="71">
        <v>5.1799999999999999E-2</v>
      </c>
      <c r="AF60" s="71">
        <v>0.64959999999999996</v>
      </c>
      <c r="AG60" s="71">
        <v>0</v>
      </c>
      <c r="AH60" s="71">
        <v>0.2422</v>
      </c>
      <c r="AI60" s="71">
        <v>2.1587999999999998</v>
      </c>
      <c r="AJ60" s="71">
        <v>0.105</v>
      </c>
      <c r="AK60" s="71">
        <v>0.18479999999999999</v>
      </c>
      <c r="AL60" s="71">
        <v>-0.79800000000000004</v>
      </c>
      <c r="AM60" s="71">
        <v>-1.8200000000000001E-2</v>
      </c>
      <c r="AN60" s="71">
        <v>1.4E-3</v>
      </c>
      <c r="AO60" s="71">
        <v>-6.0199999999999997E-2</v>
      </c>
      <c r="AP60" s="71">
        <v>-2.52E-2</v>
      </c>
      <c r="AQ60" s="71">
        <v>7.4017999999999997</v>
      </c>
      <c r="AR60" s="71">
        <v>0.91</v>
      </c>
      <c r="AS60" s="71">
        <v>0.5978</v>
      </c>
      <c r="AT60" s="71">
        <v>5.1799999999999999E-2</v>
      </c>
      <c r="AU60" s="71">
        <v>7.4200000000000002E-2</v>
      </c>
      <c r="AV60" s="71">
        <v>2.8E-3</v>
      </c>
      <c r="AW60" s="71">
        <v>0</v>
      </c>
      <c r="AX60" s="71">
        <v>-5.5999999999999999E-3</v>
      </c>
      <c r="AY60" s="71">
        <v>2.6599999999999999E-2</v>
      </c>
      <c r="AZ60" s="71">
        <v>1.26E-2</v>
      </c>
      <c r="BA60" s="77">
        <v>2.52E-2</v>
      </c>
      <c r="BB60" s="77">
        <v>0.15820000000000001</v>
      </c>
      <c r="BC60" s="77">
        <v>4.7600000000000003E-2</v>
      </c>
      <c r="BD60" s="77">
        <v>5.5999999999999999E-3</v>
      </c>
      <c r="BE60" s="77">
        <v>6.8599999999999994E-2</v>
      </c>
      <c r="BF60" s="77">
        <v>1.12E-2</v>
      </c>
      <c r="BG60" s="77">
        <v>0</v>
      </c>
      <c r="BH60" s="77">
        <v>-0.1106</v>
      </c>
      <c r="BI60" s="77">
        <v>-2.8E-3</v>
      </c>
      <c r="BJ60" s="77">
        <v>-2.8E-3</v>
      </c>
      <c r="BK60" s="77">
        <v>-4.1999999999999997E-3</v>
      </c>
      <c r="BL60" s="77">
        <v>0.49</v>
      </c>
      <c r="BM60" s="77">
        <v>0.62019999999999997</v>
      </c>
      <c r="BN60" s="77">
        <v>-3.78E-2</v>
      </c>
      <c r="BO60" s="77">
        <v>-0.13159999999999999</v>
      </c>
      <c r="BP60" s="77">
        <v>0.56420000000000003</v>
      </c>
      <c r="BQ60" s="77">
        <v>0.56559999999999999</v>
      </c>
      <c r="BR60" s="79"/>
    </row>
    <row r="61" spans="1:70" ht="15" x14ac:dyDescent="0.25">
      <c r="A61" s="74" t="s">
        <v>189</v>
      </c>
      <c r="B61" s="50" t="s">
        <v>79</v>
      </c>
      <c r="C61" s="75" t="s">
        <v>170</v>
      </c>
      <c r="D61" s="76"/>
      <c r="E61" s="71">
        <v>0.94240000000000002</v>
      </c>
      <c r="F61" s="71">
        <v>8.2400000000000001E-2</v>
      </c>
      <c r="G61" s="71">
        <v>1578.4</v>
      </c>
      <c r="H61" s="71">
        <v>165.6</v>
      </c>
      <c r="I61" s="71">
        <v>854</v>
      </c>
      <c r="J61" s="71">
        <v>34.700000000000003</v>
      </c>
      <c r="K61" s="71">
        <v>3455.6</v>
      </c>
      <c r="L61" s="71">
        <v>1972800</v>
      </c>
      <c r="M61" s="71">
        <v>51.04</v>
      </c>
      <c r="N61" s="71">
        <v>672.4</v>
      </c>
      <c r="O61" s="71">
        <v>1.2228000000000001</v>
      </c>
      <c r="P61" s="71">
        <v>51.04</v>
      </c>
      <c r="Q61" s="71">
        <v>2.9287999999999998</v>
      </c>
      <c r="R61" s="71">
        <v>1.024</v>
      </c>
      <c r="S61" s="71">
        <v>84.96</v>
      </c>
      <c r="T61" s="71">
        <v>829.2</v>
      </c>
      <c r="U61" s="71">
        <v>1.6668000000000001</v>
      </c>
      <c r="V61" s="71">
        <v>4.2519999999999998</v>
      </c>
      <c r="W61" s="71">
        <v>23.452000000000002</v>
      </c>
      <c r="X61" s="71">
        <v>143.52000000000001</v>
      </c>
      <c r="Y61" s="71">
        <v>8.1199999999999994E-2</v>
      </c>
      <c r="Z61" s="71">
        <v>8.1600000000000006E-2</v>
      </c>
      <c r="AA61" s="71">
        <v>3.2951999999999999</v>
      </c>
      <c r="AB61" s="71">
        <v>1.038</v>
      </c>
      <c r="AC61" s="71">
        <v>3.8399999999999997E-2</v>
      </c>
      <c r="AD61" s="71">
        <v>34.567999999999998</v>
      </c>
      <c r="AE61" s="71">
        <v>1.4336</v>
      </c>
      <c r="AF61" s="71">
        <v>0.87880000000000003</v>
      </c>
      <c r="AG61" s="71">
        <v>0</v>
      </c>
      <c r="AH61" s="71">
        <v>0.63959999999999995</v>
      </c>
      <c r="AI61" s="71">
        <v>2.8E-3</v>
      </c>
      <c r="AJ61" s="71">
        <v>0</v>
      </c>
      <c r="AK61" s="71">
        <v>0.23080000000000001</v>
      </c>
      <c r="AL61" s="71">
        <v>1.272</v>
      </c>
      <c r="AM61" s="71">
        <v>1.6000000000000001E-3</v>
      </c>
      <c r="AN61" s="71">
        <v>7.1999999999999998E-3</v>
      </c>
      <c r="AO61" s="71">
        <v>-1.7600000000000001E-2</v>
      </c>
      <c r="AP61" s="71">
        <v>-4.0000000000000001E-3</v>
      </c>
      <c r="AQ61" s="71">
        <v>19.36</v>
      </c>
      <c r="AR61" s="71">
        <v>1.2492000000000001</v>
      </c>
      <c r="AS61" s="71">
        <v>2.4660000000000002</v>
      </c>
      <c r="AT61" s="71">
        <v>0.2104</v>
      </c>
      <c r="AU61" s="71">
        <v>1.0804</v>
      </c>
      <c r="AV61" s="71">
        <v>0.22120000000000001</v>
      </c>
      <c r="AW61" s="71">
        <v>7.1599999999999997E-2</v>
      </c>
      <c r="AX61" s="71">
        <v>0.3024</v>
      </c>
      <c r="AY61" s="71">
        <v>4.6399999999999997E-2</v>
      </c>
      <c r="AZ61" s="71">
        <v>0.2172</v>
      </c>
      <c r="BA61" s="77">
        <v>3.2800000000000003E-2</v>
      </c>
      <c r="BB61" s="77">
        <v>0.1244</v>
      </c>
      <c r="BC61" s="77">
        <v>1.52E-2</v>
      </c>
      <c r="BD61" s="77">
        <v>6.2E-2</v>
      </c>
      <c r="BE61" s="77">
        <v>7.6E-3</v>
      </c>
      <c r="BF61" s="77">
        <v>2.52E-2</v>
      </c>
      <c r="BG61" s="77">
        <v>2.3999999999999998E-3</v>
      </c>
      <c r="BH61" s="77">
        <v>0.2036</v>
      </c>
      <c r="BI61" s="77">
        <v>0.23960000000000001</v>
      </c>
      <c r="BJ61" s="77">
        <v>-8.0000000000000004E-4</v>
      </c>
      <c r="BK61" s="77">
        <v>-8.0000000000000004E-4</v>
      </c>
      <c r="BL61" s="77">
        <v>8.9599999999999999E-2</v>
      </c>
      <c r="BM61" s="77">
        <v>0.70679999999999998</v>
      </c>
      <c r="BN61" s="77">
        <v>1.9199999999999998E-2</v>
      </c>
      <c r="BO61" s="77">
        <v>-2.8000000000000001E-2</v>
      </c>
      <c r="BP61" s="77">
        <v>0.4652</v>
      </c>
      <c r="BQ61" s="77">
        <v>0.57479999999999998</v>
      </c>
      <c r="BR61" s="79"/>
    </row>
    <row r="62" spans="1:70" ht="15" x14ac:dyDescent="0.25">
      <c r="A62" s="74" t="s">
        <v>189</v>
      </c>
      <c r="B62" s="50" t="s">
        <v>79</v>
      </c>
      <c r="C62" s="75" t="s">
        <v>170</v>
      </c>
      <c r="D62" s="76"/>
      <c r="E62" s="71">
        <v>0.87719999999999998</v>
      </c>
      <c r="F62" s="71">
        <v>9.0800000000000006E-2</v>
      </c>
      <c r="G62" s="71">
        <v>1532.4</v>
      </c>
      <c r="H62" s="71">
        <v>165.16</v>
      </c>
      <c r="I62" s="71">
        <v>825.2</v>
      </c>
      <c r="J62" s="71">
        <v>36.36</v>
      </c>
      <c r="K62" s="71">
        <v>3246.8</v>
      </c>
      <c r="L62" s="71">
        <v>1935600</v>
      </c>
      <c r="M62" s="71">
        <v>50.76</v>
      </c>
      <c r="N62" s="71">
        <v>672</v>
      </c>
      <c r="O62" s="71">
        <v>0.876</v>
      </c>
      <c r="P62" s="71">
        <v>50.76</v>
      </c>
      <c r="Q62" s="71">
        <v>2.8752</v>
      </c>
      <c r="R62" s="71">
        <v>0.98319999999999996</v>
      </c>
      <c r="S62" s="71">
        <v>85.04</v>
      </c>
      <c r="T62" s="71">
        <v>806.4</v>
      </c>
      <c r="U62" s="71">
        <v>1.6528</v>
      </c>
      <c r="V62" s="71">
        <v>4.2279999999999998</v>
      </c>
      <c r="W62" s="71">
        <v>24.128</v>
      </c>
      <c r="X62" s="71">
        <v>145.72</v>
      </c>
      <c r="Y62" s="71">
        <v>7.3599999999999999E-2</v>
      </c>
      <c r="Z62" s="71">
        <v>7.9200000000000007E-2</v>
      </c>
      <c r="AA62" s="71">
        <v>3.2684000000000002</v>
      </c>
      <c r="AB62" s="71">
        <v>1.0740000000000001</v>
      </c>
      <c r="AC62" s="71">
        <v>4.1200000000000001E-2</v>
      </c>
      <c r="AD62" s="71">
        <v>33.76</v>
      </c>
      <c r="AE62" s="71">
        <v>2.1015999999999999</v>
      </c>
      <c r="AF62" s="71">
        <v>0.79600000000000004</v>
      </c>
      <c r="AG62" s="71">
        <v>0</v>
      </c>
      <c r="AH62" s="71">
        <v>0.60919999999999996</v>
      </c>
      <c r="AI62" s="71">
        <v>2.8E-3</v>
      </c>
      <c r="AJ62" s="71">
        <v>1.0800000000000001E-2</v>
      </c>
      <c r="AK62" s="71">
        <v>0.59119999999999995</v>
      </c>
      <c r="AL62" s="71">
        <v>1.2256</v>
      </c>
      <c r="AM62" s="71">
        <v>-4.0000000000000002E-4</v>
      </c>
      <c r="AN62" s="71">
        <v>5.1999999999999998E-3</v>
      </c>
      <c r="AO62" s="71">
        <v>-1.4E-2</v>
      </c>
      <c r="AP62" s="71">
        <v>-4.4000000000000003E-3</v>
      </c>
      <c r="AQ62" s="71">
        <v>19.411999999999999</v>
      </c>
      <c r="AR62" s="71">
        <v>1.6508</v>
      </c>
      <c r="AS62" s="71">
        <v>3.3464</v>
      </c>
      <c r="AT62" s="71">
        <v>0.41599999999999998</v>
      </c>
      <c r="AU62" s="71">
        <v>1.504</v>
      </c>
      <c r="AV62" s="71">
        <v>0.37119999999999997</v>
      </c>
      <c r="AW62" s="71">
        <v>6.8000000000000005E-2</v>
      </c>
      <c r="AX62" s="71">
        <v>0.31559999999999999</v>
      </c>
      <c r="AY62" s="71">
        <v>5.16E-2</v>
      </c>
      <c r="AZ62" s="71">
        <v>0.30320000000000003</v>
      </c>
      <c r="BA62" s="77">
        <v>6.4000000000000001E-2</v>
      </c>
      <c r="BB62" s="77">
        <v>0.16039999999999999</v>
      </c>
      <c r="BC62" s="77">
        <v>2.0400000000000001E-2</v>
      </c>
      <c r="BD62" s="77">
        <v>0.12</v>
      </c>
      <c r="BE62" s="77">
        <v>1.04E-2</v>
      </c>
      <c r="BF62" s="77">
        <v>2.3199999999999998E-2</v>
      </c>
      <c r="BG62" s="77">
        <v>8.0000000000000004E-4</v>
      </c>
      <c r="BH62" s="77">
        <v>0.20519999999999999</v>
      </c>
      <c r="BI62" s="77">
        <v>0.23</v>
      </c>
      <c r="BJ62" s="77">
        <v>-8.0000000000000004E-4</v>
      </c>
      <c r="BK62" s="77">
        <v>-1.1999999999999999E-3</v>
      </c>
      <c r="BL62" s="77">
        <v>2.1999999999999999E-2</v>
      </c>
      <c r="BM62" s="77">
        <v>0.58440000000000003</v>
      </c>
      <c r="BN62" s="77">
        <v>1.24E-2</v>
      </c>
      <c r="BO62" s="77">
        <v>-2.9600000000000001E-2</v>
      </c>
      <c r="BP62" s="77">
        <v>0.86080000000000001</v>
      </c>
      <c r="BQ62" s="77">
        <v>0.8256</v>
      </c>
      <c r="BR62" s="79"/>
    </row>
    <row r="63" spans="1:70" ht="15" x14ac:dyDescent="0.25">
      <c r="A63" s="74" t="s">
        <v>189</v>
      </c>
      <c r="B63" s="50" t="s">
        <v>79</v>
      </c>
      <c r="C63" s="75" t="s">
        <v>170</v>
      </c>
      <c r="D63" s="76"/>
      <c r="E63" s="71">
        <v>0.92359999999999998</v>
      </c>
      <c r="F63" s="71">
        <v>7.4800000000000005E-2</v>
      </c>
      <c r="G63" s="71">
        <v>1536.4</v>
      </c>
      <c r="H63" s="71">
        <v>165.32</v>
      </c>
      <c r="I63" s="71">
        <v>818.8</v>
      </c>
      <c r="J63" s="71">
        <v>35.055999999999997</v>
      </c>
      <c r="K63" s="71">
        <v>3249.2</v>
      </c>
      <c r="L63" s="71">
        <v>1887600</v>
      </c>
      <c r="M63" s="71">
        <v>51.12</v>
      </c>
      <c r="N63" s="71">
        <v>670.4</v>
      </c>
      <c r="O63" s="71">
        <v>0.98440000000000005</v>
      </c>
      <c r="P63" s="71">
        <v>51.12</v>
      </c>
      <c r="Q63" s="71">
        <v>2.7944</v>
      </c>
      <c r="R63" s="71">
        <v>0.98760000000000003</v>
      </c>
      <c r="S63" s="71">
        <v>85.2</v>
      </c>
      <c r="T63" s="71">
        <v>810</v>
      </c>
      <c r="U63" s="71">
        <v>1.6472</v>
      </c>
      <c r="V63" s="71">
        <v>4.1879999999999997</v>
      </c>
      <c r="W63" s="71">
        <v>24.06</v>
      </c>
      <c r="X63" s="71">
        <v>139.24</v>
      </c>
      <c r="Y63" s="71">
        <v>7.6399999999999996E-2</v>
      </c>
      <c r="Z63" s="71">
        <v>7.9600000000000004E-2</v>
      </c>
      <c r="AA63" s="71">
        <v>3.2435999999999998</v>
      </c>
      <c r="AB63" s="71">
        <v>1.1836</v>
      </c>
      <c r="AC63" s="71">
        <v>4.0800000000000003E-2</v>
      </c>
      <c r="AD63" s="71">
        <v>33.744</v>
      </c>
      <c r="AE63" s="71">
        <v>2.3795999999999999</v>
      </c>
      <c r="AF63" s="71">
        <v>0.78239999999999998</v>
      </c>
      <c r="AG63" s="71">
        <v>0</v>
      </c>
      <c r="AH63" s="71">
        <v>0.6</v>
      </c>
      <c r="AI63" s="71">
        <v>0</v>
      </c>
      <c r="AJ63" s="71">
        <v>4.0000000000000002E-4</v>
      </c>
      <c r="AK63" s="71">
        <v>0.20080000000000001</v>
      </c>
      <c r="AL63" s="71">
        <v>1.21</v>
      </c>
      <c r="AM63" s="71">
        <v>-1.1999999999999999E-3</v>
      </c>
      <c r="AN63" s="71">
        <v>3.2000000000000002E-3</v>
      </c>
      <c r="AO63" s="71">
        <v>-1.2E-2</v>
      </c>
      <c r="AP63" s="71">
        <v>-3.5999999999999999E-3</v>
      </c>
      <c r="AQ63" s="71">
        <v>19.68</v>
      </c>
      <c r="AR63" s="71">
        <v>1.8612</v>
      </c>
      <c r="AS63" s="71">
        <v>3.6880000000000002</v>
      </c>
      <c r="AT63" s="71">
        <v>0.4284</v>
      </c>
      <c r="AU63" s="71">
        <v>1.7363999999999999</v>
      </c>
      <c r="AV63" s="71">
        <v>0.36880000000000002</v>
      </c>
      <c r="AW63" s="71">
        <v>7.8E-2</v>
      </c>
      <c r="AX63" s="71">
        <v>0.41399999999999998</v>
      </c>
      <c r="AY63" s="71">
        <v>5.6399999999999999E-2</v>
      </c>
      <c r="AZ63" s="71">
        <v>0.32440000000000002</v>
      </c>
      <c r="BA63" s="77">
        <v>6.1199999999999997E-2</v>
      </c>
      <c r="BB63" s="77">
        <v>0.17799999999999999</v>
      </c>
      <c r="BC63" s="77">
        <v>2.1999999999999999E-2</v>
      </c>
      <c r="BD63" s="77">
        <v>0.13320000000000001</v>
      </c>
      <c r="BE63" s="77">
        <v>1.72E-2</v>
      </c>
      <c r="BF63" s="77">
        <v>2.0799999999999999E-2</v>
      </c>
      <c r="BG63" s="77">
        <v>4.0000000000000002E-4</v>
      </c>
      <c r="BH63" s="77">
        <v>0.19520000000000001</v>
      </c>
      <c r="BI63" s="77">
        <v>0.224</v>
      </c>
      <c r="BJ63" s="77">
        <v>-8.0000000000000004E-4</v>
      </c>
      <c r="BK63" s="77">
        <v>-8.0000000000000004E-4</v>
      </c>
      <c r="BL63" s="77">
        <v>4.0000000000000001E-3</v>
      </c>
      <c r="BM63" s="77">
        <v>0.34439999999999998</v>
      </c>
      <c r="BN63" s="77">
        <v>8.0000000000000002E-3</v>
      </c>
      <c r="BO63" s="77">
        <v>-2.9600000000000001E-2</v>
      </c>
      <c r="BP63" s="77">
        <v>0.37080000000000002</v>
      </c>
      <c r="BQ63" s="77">
        <v>0.90039999999999998</v>
      </c>
      <c r="BR63" s="79"/>
    </row>
    <row r="64" spans="1:70" ht="15" x14ac:dyDescent="0.25">
      <c r="A64" s="74" t="s">
        <v>190</v>
      </c>
      <c r="B64" s="50" t="s">
        <v>80</v>
      </c>
      <c r="C64" s="75" t="s">
        <v>170</v>
      </c>
      <c r="D64" s="76"/>
      <c r="E64" s="71">
        <v>3.2280000000000002</v>
      </c>
      <c r="F64" s="71">
        <v>3.8999999999999998E-3</v>
      </c>
      <c r="G64" s="71">
        <v>568.5</v>
      </c>
      <c r="H64" s="71">
        <v>37.08</v>
      </c>
      <c r="I64" s="71">
        <v>76.5</v>
      </c>
      <c r="J64" s="71">
        <v>14.718</v>
      </c>
      <c r="K64" s="71">
        <v>3153</v>
      </c>
      <c r="L64" s="71">
        <v>6834000</v>
      </c>
      <c r="M64" s="71">
        <v>0.68340000000000001</v>
      </c>
      <c r="N64" s="71">
        <v>314.39999999999998</v>
      </c>
      <c r="O64" s="71">
        <v>0.25740000000000002</v>
      </c>
      <c r="P64" s="71">
        <v>0.68340000000000001</v>
      </c>
      <c r="Q64" s="71">
        <v>1.2861</v>
      </c>
      <c r="R64" s="71">
        <v>4.6500000000000004</v>
      </c>
      <c r="S64" s="71">
        <v>7.5570000000000004</v>
      </c>
      <c r="T64" s="71">
        <v>2118.3000000000002</v>
      </c>
      <c r="U64" s="71">
        <v>0.39300000000000002</v>
      </c>
      <c r="V64" s="71">
        <v>1.6653</v>
      </c>
      <c r="W64" s="71">
        <v>418.8</v>
      </c>
      <c r="X64" s="71">
        <v>897300</v>
      </c>
      <c r="Y64" s="71">
        <v>5.8500000000000003E-2</v>
      </c>
      <c r="Z64" s="71">
        <v>0.13919999999999999</v>
      </c>
      <c r="AA64" s="71">
        <v>14.106</v>
      </c>
      <c r="AB64" s="71">
        <v>115.74</v>
      </c>
      <c r="AC64" s="71">
        <v>5.4899999999999997E-2</v>
      </c>
      <c r="AD64" s="71">
        <v>6.8490000000000002</v>
      </c>
      <c r="AE64" s="71">
        <v>5.5500000000000001E-2</v>
      </c>
      <c r="AF64" s="71">
        <v>6.1800000000000001E-2</v>
      </c>
      <c r="AG64" s="71">
        <v>0</v>
      </c>
      <c r="AH64" s="71">
        <v>17.562000000000001</v>
      </c>
      <c r="AI64" s="71">
        <v>3.2099999999999997E-2</v>
      </c>
      <c r="AJ64" s="71">
        <v>5.1000000000000004E-3</v>
      </c>
      <c r="AK64" s="71">
        <v>8.43E-2</v>
      </c>
      <c r="AL64" s="71">
        <v>33</v>
      </c>
      <c r="AM64" s="71">
        <v>0.1767</v>
      </c>
      <c r="AN64" s="71">
        <v>8.7300000000000003E-2</v>
      </c>
      <c r="AO64" s="71">
        <v>-2.7000000000000001E-3</v>
      </c>
      <c r="AP64" s="71">
        <v>5.1000000000000004E-3</v>
      </c>
      <c r="AQ64" s="71">
        <v>6.7110000000000003</v>
      </c>
      <c r="AR64" s="71">
        <v>6.8400000000000002E-2</v>
      </c>
      <c r="AS64" s="71">
        <v>0.13439999999999999</v>
      </c>
      <c r="AT64" s="71">
        <v>1.47E-2</v>
      </c>
      <c r="AU64" s="71">
        <v>5.91E-2</v>
      </c>
      <c r="AV64" s="71">
        <v>9.9000000000000008E-3</v>
      </c>
      <c r="AW64" s="71">
        <v>2.7000000000000001E-3</v>
      </c>
      <c r="AX64" s="71">
        <v>7.1999999999999998E-3</v>
      </c>
      <c r="AY64" s="71">
        <v>1.1999999999999999E-3</v>
      </c>
      <c r="AZ64" s="71">
        <v>7.1999999999999998E-3</v>
      </c>
      <c r="BA64" s="77">
        <v>1.5E-3</v>
      </c>
      <c r="BB64" s="77">
        <v>4.7999999999999996E-3</v>
      </c>
      <c r="BC64" s="77">
        <v>5.9999999999999995E-4</v>
      </c>
      <c r="BD64" s="77">
        <v>3.5999999999999999E-3</v>
      </c>
      <c r="BE64" s="77">
        <v>5.9999999999999995E-4</v>
      </c>
      <c r="BF64" s="77">
        <v>1.1999999999999999E-3</v>
      </c>
      <c r="BG64" s="77">
        <v>0</v>
      </c>
      <c r="BH64" s="77">
        <v>3.0599999999999999E-2</v>
      </c>
      <c r="BI64" s="77">
        <v>6.0000000000000001E-3</v>
      </c>
      <c r="BJ64" s="77">
        <v>2.9999999999999997E-4</v>
      </c>
      <c r="BK64" s="77">
        <v>-5.9999999999999995E-4</v>
      </c>
      <c r="BL64" s="77">
        <v>1.8E-3</v>
      </c>
      <c r="BM64" s="77">
        <v>0.41789999999999999</v>
      </c>
      <c r="BN64" s="77">
        <v>11.757</v>
      </c>
      <c r="BO64" s="77">
        <v>0.1017</v>
      </c>
      <c r="BP64" s="77">
        <v>8.6699999999999999E-2</v>
      </c>
      <c r="BQ64" s="77">
        <v>2.0202</v>
      </c>
      <c r="BR64" s="79"/>
    </row>
    <row r="65" spans="1:70" ht="15" x14ac:dyDescent="0.25">
      <c r="A65" s="74" t="s">
        <v>190</v>
      </c>
      <c r="B65" s="50" t="s">
        <v>80</v>
      </c>
      <c r="C65" s="75" t="s">
        <v>170</v>
      </c>
      <c r="D65" s="76"/>
      <c r="E65" s="71">
        <v>1.2624</v>
      </c>
      <c r="F65" s="71">
        <v>0</v>
      </c>
      <c r="G65" s="71">
        <v>568.79999999999995</v>
      </c>
      <c r="H65" s="71">
        <v>47.16</v>
      </c>
      <c r="I65" s="71">
        <v>95.19</v>
      </c>
      <c r="J65" s="71">
        <v>21.143999999999998</v>
      </c>
      <c r="K65" s="71">
        <v>2627.1</v>
      </c>
      <c r="L65" s="71">
        <v>7137000</v>
      </c>
      <c r="M65" s="71">
        <v>0.63390000000000002</v>
      </c>
      <c r="N65" s="71">
        <v>340.5</v>
      </c>
      <c r="O65" s="71">
        <v>0.29609999999999997</v>
      </c>
      <c r="P65" s="71">
        <v>0.63390000000000002</v>
      </c>
      <c r="Q65" s="71">
        <v>1.6332</v>
      </c>
      <c r="R65" s="71">
        <v>6.0179999999999998</v>
      </c>
      <c r="S65" s="71">
        <v>9.4049999999999994</v>
      </c>
      <c r="T65" s="71">
        <v>2259.3000000000002</v>
      </c>
      <c r="U65" s="71">
        <v>0.49769999999999998</v>
      </c>
      <c r="V65" s="71">
        <v>2.1516000000000002</v>
      </c>
      <c r="W65" s="71">
        <v>546.29999999999995</v>
      </c>
      <c r="X65" s="71">
        <v>1097700</v>
      </c>
      <c r="Y65" s="71">
        <v>7.1400000000000005E-2</v>
      </c>
      <c r="Z65" s="71">
        <v>0.15690000000000001</v>
      </c>
      <c r="AA65" s="71">
        <v>15.162000000000001</v>
      </c>
      <c r="AB65" s="71">
        <v>144.84</v>
      </c>
      <c r="AC65" s="71">
        <v>3.9600000000000003E-2</v>
      </c>
      <c r="AD65" s="71">
        <v>8.4149999999999991</v>
      </c>
      <c r="AE65" s="71">
        <v>6.6900000000000001E-2</v>
      </c>
      <c r="AF65" s="71">
        <v>7.5899999999999995E-2</v>
      </c>
      <c r="AG65" s="71">
        <v>0</v>
      </c>
      <c r="AH65" s="71">
        <v>22.824000000000002</v>
      </c>
      <c r="AI65" s="71">
        <v>5.1299999999999998E-2</v>
      </c>
      <c r="AJ65" s="71">
        <v>8.6999999999999994E-3</v>
      </c>
      <c r="AK65" s="71">
        <v>7.7700000000000005E-2</v>
      </c>
      <c r="AL65" s="71">
        <v>42.6</v>
      </c>
      <c r="AM65" s="71">
        <v>0.22919999999999999</v>
      </c>
      <c r="AN65" s="71">
        <v>0.1149</v>
      </c>
      <c r="AO65" s="71">
        <v>0.1404</v>
      </c>
      <c r="AP65" s="71">
        <v>8.3999999999999995E-3</v>
      </c>
      <c r="AQ65" s="71">
        <v>6.7380000000000004</v>
      </c>
      <c r="AR65" s="71">
        <v>9.0899999999999995E-2</v>
      </c>
      <c r="AS65" s="71">
        <v>0.1749</v>
      </c>
      <c r="AT65" s="71">
        <v>1.8599999999999998E-2</v>
      </c>
      <c r="AU65" s="71">
        <v>7.4999999999999997E-2</v>
      </c>
      <c r="AV65" s="71">
        <v>1.32E-2</v>
      </c>
      <c r="AW65" s="71">
        <v>3.5999999999999999E-3</v>
      </c>
      <c r="AX65" s="71">
        <v>1.11E-2</v>
      </c>
      <c r="AY65" s="71">
        <v>1.8E-3</v>
      </c>
      <c r="AZ65" s="71">
        <v>1.0500000000000001E-2</v>
      </c>
      <c r="BA65" s="77">
        <v>1.8E-3</v>
      </c>
      <c r="BB65" s="77">
        <v>5.1000000000000004E-3</v>
      </c>
      <c r="BC65" s="77">
        <v>8.9999999999999998E-4</v>
      </c>
      <c r="BD65" s="77">
        <v>4.7999999999999996E-3</v>
      </c>
      <c r="BE65" s="77">
        <v>5.9999999999999995E-4</v>
      </c>
      <c r="BF65" s="77">
        <v>2.0999999999999999E-3</v>
      </c>
      <c r="BG65" s="77">
        <v>2.9999999999999997E-4</v>
      </c>
      <c r="BH65" s="77">
        <v>5.0999999999999997E-2</v>
      </c>
      <c r="BI65" s="77">
        <v>8.9999999999999993E-3</v>
      </c>
      <c r="BJ65" s="77">
        <v>3.5999999999999999E-3</v>
      </c>
      <c r="BK65" s="77">
        <v>2.9999999999999997E-4</v>
      </c>
      <c r="BL65" s="77">
        <v>2.0999999999999999E-3</v>
      </c>
      <c r="BM65" s="77">
        <v>0.49049999999999999</v>
      </c>
      <c r="BN65" s="77">
        <v>16.298999999999999</v>
      </c>
      <c r="BO65" s="77">
        <v>0.15870000000000001</v>
      </c>
      <c r="BP65" s="77">
        <v>0.10589999999999999</v>
      </c>
      <c r="BQ65" s="77">
        <v>2.6585999999999999</v>
      </c>
      <c r="BR65" s="79"/>
    </row>
    <row r="66" spans="1:70" ht="15" x14ac:dyDescent="0.25">
      <c r="A66" s="74" t="s">
        <v>190</v>
      </c>
      <c r="B66" s="50" t="s">
        <v>80</v>
      </c>
      <c r="C66" s="75" t="s">
        <v>170</v>
      </c>
      <c r="D66" s="76"/>
      <c r="E66" s="71">
        <v>1.2177</v>
      </c>
      <c r="F66" s="71">
        <v>0</v>
      </c>
      <c r="G66" s="71">
        <v>530.4</v>
      </c>
      <c r="H66" s="71">
        <v>39.840000000000003</v>
      </c>
      <c r="I66" s="71">
        <v>78.599999999999994</v>
      </c>
      <c r="J66" s="71">
        <v>16.899000000000001</v>
      </c>
      <c r="K66" s="71">
        <v>2450.6999999999998</v>
      </c>
      <c r="L66" s="71">
        <v>6840000</v>
      </c>
      <c r="M66" s="71">
        <v>0.69779999999999998</v>
      </c>
      <c r="N66" s="71">
        <v>321.60000000000002</v>
      </c>
      <c r="O66" s="71">
        <v>0.21149999999999999</v>
      </c>
      <c r="P66" s="71">
        <v>0.69779999999999998</v>
      </c>
      <c r="Q66" s="71">
        <v>1.3443000000000001</v>
      </c>
      <c r="R66" s="71">
        <v>5.07</v>
      </c>
      <c r="S66" s="71">
        <v>8.0879999999999992</v>
      </c>
      <c r="T66" s="71">
        <v>2125.8000000000002</v>
      </c>
      <c r="U66" s="71">
        <v>0.42</v>
      </c>
      <c r="V66" s="71">
        <v>1.8084</v>
      </c>
      <c r="W66" s="71">
        <v>455.1</v>
      </c>
      <c r="X66" s="71">
        <v>939000</v>
      </c>
      <c r="Y66" s="71">
        <v>6.1199999999999997E-2</v>
      </c>
      <c r="Z66" s="71">
        <v>0.11219999999999999</v>
      </c>
      <c r="AA66" s="71">
        <v>14.487</v>
      </c>
      <c r="AB66" s="71">
        <v>120.57</v>
      </c>
      <c r="AC66" s="71">
        <v>4.1099999999999998E-2</v>
      </c>
      <c r="AD66" s="71">
        <v>7.2960000000000003</v>
      </c>
      <c r="AE66" s="71">
        <v>7.3800000000000004E-2</v>
      </c>
      <c r="AF66" s="71">
        <v>5.91E-2</v>
      </c>
      <c r="AG66" s="71">
        <v>0</v>
      </c>
      <c r="AH66" s="71">
        <v>19.875</v>
      </c>
      <c r="AI66" s="71">
        <v>5.7000000000000002E-2</v>
      </c>
      <c r="AJ66" s="71">
        <v>8.3999999999999995E-3</v>
      </c>
      <c r="AK66" s="71">
        <v>7.5600000000000001E-2</v>
      </c>
      <c r="AL66" s="71">
        <v>36.54</v>
      </c>
      <c r="AM66" s="71">
        <v>0.19289999999999999</v>
      </c>
      <c r="AN66" s="71">
        <v>9.9000000000000005E-2</v>
      </c>
      <c r="AO66" s="71">
        <v>1.41E-2</v>
      </c>
      <c r="AP66" s="71">
        <v>3.8999999999999998E-3</v>
      </c>
      <c r="AQ66" s="71">
        <v>6.2190000000000003</v>
      </c>
      <c r="AR66" s="71">
        <v>9.6600000000000005E-2</v>
      </c>
      <c r="AS66" s="71">
        <v>0.18659999999999999</v>
      </c>
      <c r="AT66" s="71">
        <v>1.95E-2</v>
      </c>
      <c r="AU66" s="71">
        <v>8.0699999999999994E-2</v>
      </c>
      <c r="AV66" s="71">
        <v>1.6500000000000001E-2</v>
      </c>
      <c r="AW66" s="71">
        <v>3.3E-3</v>
      </c>
      <c r="AX66" s="71">
        <v>1.17E-2</v>
      </c>
      <c r="AY66" s="71">
        <v>2.0999999999999999E-3</v>
      </c>
      <c r="AZ66" s="71">
        <v>9.2999999999999992E-3</v>
      </c>
      <c r="BA66" s="77">
        <v>2.0999999999999999E-3</v>
      </c>
      <c r="BB66" s="77">
        <v>5.7000000000000002E-3</v>
      </c>
      <c r="BC66" s="77">
        <v>8.9999999999999998E-4</v>
      </c>
      <c r="BD66" s="77">
        <v>5.1000000000000004E-3</v>
      </c>
      <c r="BE66" s="77">
        <v>5.9999999999999995E-4</v>
      </c>
      <c r="BF66" s="77">
        <v>2.9999999999999997E-4</v>
      </c>
      <c r="BG66" s="77">
        <v>0</v>
      </c>
      <c r="BH66" s="77">
        <v>4.9799999999999997E-2</v>
      </c>
      <c r="BI66" s="77">
        <v>7.7999999999999996E-3</v>
      </c>
      <c r="BJ66" s="77">
        <v>5.9999999999999995E-4</v>
      </c>
      <c r="BK66" s="77">
        <v>-5.9999999999999995E-4</v>
      </c>
      <c r="BL66" s="77">
        <v>2.7000000000000001E-3</v>
      </c>
      <c r="BM66" s="77">
        <v>0.48149999999999998</v>
      </c>
      <c r="BN66" s="77">
        <v>13.662000000000001</v>
      </c>
      <c r="BO66" s="77">
        <v>0.1227</v>
      </c>
      <c r="BP66" s="77">
        <v>0.10589999999999999</v>
      </c>
      <c r="BQ66" s="77">
        <v>2.7284999999999999</v>
      </c>
      <c r="BR66" s="79"/>
    </row>
    <row r="67" spans="1:70" ht="15" x14ac:dyDescent="0.25">
      <c r="A67" s="74" t="s">
        <v>191</v>
      </c>
      <c r="B67" s="50" t="s">
        <v>81</v>
      </c>
      <c r="C67" s="75" t="s">
        <v>170</v>
      </c>
      <c r="D67" s="76"/>
      <c r="E67" s="71">
        <v>0.20130000000000001</v>
      </c>
      <c r="F67" s="71">
        <v>8.9999999999999998E-4</v>
      </c>
      <c r="G67" s="71">
        <v>100.05</v>
      </c>
      <c r="H67" s="71">
        <v>18.501000000000001</v>
      </c>
      <c r="I67" s="71">
        <v>1129.5</v>
      </c>
      <c r="J67" s="71">
        <v>221.91</v>
      </c>
      <c r="K67" s="71">
        <v>458.7</v>
      </c>
      <c r="L67" s="71">
        <v>3255000</v>
      </c>
      <c r="M67" s="71">
        <v>0.2361</v>
      </c>
      <c r="N67" s="71">
        <v>145.80000000000001</v>
      </c>
      <c r="O67" s="71">
        <v>-3.6299999999999999E-2</v>
      </c>
      <c r="P67" s="71">
        <v>0.2361</v>
      </c>
      <c r="Q67" s="71">
        <v>0.97260000000000002</v>
      </c>
      <c r="R67" s="71">
        <v>2.8113000000000001</v>
      </c>
      <c r="S67" s="71">
        <v>9.0150000000000006</v>
      </c>
      <c r="T67" s="71">
        <v>1436.4</v>
      </c>
      <c r="U67" s="71">
        <v>0.15870000000000001</v>
      </c>
      <c r="V67" s="71">
        <v>13.911</v>
      </c>
      <c r="W67" s="71">
        <v>-5.0549999999999997</v>
      </c>
      <c r="X67" s="71">
        <v>7623</v>
      </c>
      <c r="Y67" s="71">
        <v>0.13139999999999999</v>
      </c>
      <c r="Z67" s="71">
        <v>8.2799999999999999E-2</v>
      </c>
      <c r="AA67" s="71">
        <v>1.581</v>
      </c>
      <c r="AB67" s="71">
        <v>55.23</v>
      </c>
      <c r="AC67" s="71">
        <v>6.6E-3</v>
      </c>
      <c r="AD67" s="71">
        <v>2.7435</v>
      </c>
      <c r="AE67" s="71">
        <v>-8.9999999999999998E-4</v>
      </c>
      <c r="AF67" s="71">
        <v>6.3299999999999995E-2</v>
      </c>
      <c r="AG67" s="71">
        <v>0</v>
      </c>
      <c r="AH67" s="71">
        <v>1.2629999999999999</v>
      </c>
      <c r="AI67" s="71">
        <v>0</v>
      </c>
      <c r="AJ67" s="71">
        <v>5.9999999999999995E-4</v>
      </c>
      <c r="AK67" s="71">
        <v>-3.5999999999999999E-3</v>
      </c>
      <c r="AL67" s="71">
        <v>42.54</v>
      </c>
      <c r="AM67" s="71">
        <v>0.34710000000000002</v>
      </c>
      <c r="AN67" s="71">
        <v>1.6833</v>
      </c>
      <c r="AO67" s="71">
        <v>7.0979999999999999</v>
      </c>
      <c r="AP67" s="71">
        <v>3.1199999999999999E-2</v>
      </c>
      <c r="AQ67" s="71">
        <v>5.8319999999999999</v>
      </c>
      <c r="AR67" s="71">
        <v>-5.9999999999999995E-4</v>
      </c>
      <c r="AS67" s="71">
        <v>-1.1999999999999999E-3</v>
      </c>
      <c r="AT67" s="71">
        <v>-2.9999999999999997E-4</v>
      </c>
      <c r="AU67" s="71">
        <v>-2.9999999999999997E-4</v>
      </c>
      <c r="AV67" s="71">
        <v>-5.9999999999999995E-4</v>
      </c>
      <c r="AW67" s="71">
        <v>0</v>
      </c>
      <c r="AX67" s="71">
        <v>-2.7000000000000001E-3</v>
      </c>
      <c r="AY67" s="71">
        <v>0</v>
      </c>
      <c r="AZ67" s="71">
        <v>-2.9999999999999997E-4</v>
      </c>
      <c r="BA67" s="77">
        <v>0</v>
      </c>
      <c r="BB67" s="77">
        <v>-2.9999999999999997E-4</v>
      </c>
      <c r="BC67" s="77">
        <v>0</v>
      </c>
      <c r="BD67" s="77">
        <v>-2.9999999999999997E-4</v>
      </c>
      <c r="BE67" s="77">
        <v>0</v>
      </c>
      <c r="BF67" s="77">
        <v>-2.9999999999999997E-4</v>
      </c>
      <c r="BG67" s="77">
        <v>7.1999999999999998E-3</v>
      </c>
      <c r="BH67" s="77">
        <v>0.10349999999999999</v>
      </c>
      <c r="BI67" s="77">
        <v>9.8400000000000001E-2</v>
      </c>
      <c r="BJ67" s="77">
        <v>0.1278</v>
      </c>
      <c r="BK67" s="77">
        <v>-2.9999999999999997E-4</v>
      </c>
      <c r="BL67" s="77">
        <v>-2.9999999999999997E-4</v>
      </c>
      <c r="BM67" s="77">
        <v>2.0999999999999999E-3</v>
      </c>
      <c r="BN67" s="77">
        <v>3.165</v>
      </c>
      <c r="BO67" s="77">
        <v>412.2</v>
      </c>
      <c r="BP67" s="77">
        <v>-2.8500000000000001E-2</v>
      </c>
      <c r="BQ67" s="77">
        <v>-3.0000000000000001E-3</v>
      </c>
      <c r="BR67" s="79"/>
    </row>
    <row r="68" spans="1:70" ht="15" x14ac:dyDescent="0.25">
      <c r="A68" s="74" t="s">
        <v>191</v>
      </c>
      <c r="B68" s="50" t="s">
        <v>81</v>
      </c>
      <c r="C68" s="75" t="s">
        <v>170</v>
      </c>
      <c r="D68" s="76"/>
      <c r="E68" s="71">
        <v>0.2079</v>
      </c>
      <c r="F68" s="71">
        <v>0</v>
      </c>
      <c r="G68" s="71">
        <v>95.7</v>
      </c>
      <c r="H68" s="71">
        <v>13.272</v>
      </c>
      <c r="I68" s="71">
        <v>803.1</v>
      </c>
      <c r="J68" s="71">
        <v>31.92</v>
      </c>
      <c r="K68" s="71">
        <v>423.6</v>
      </c>
      <c r="L68" s="71">
        <v>3171000</v>
      </c>
      <c r="M68" s="71">
        <v>0.48330000000000001</v>
      </c>
      <c r="N68" s="71">
        <v>138.15</v>
      </c>
      <c r="O68" s="71">
        <v>-3.6299999999999999E-2</v>
      </c>
      <c r="P68" s="71">
        <v>0.48330000000000001</v>
      </c>
      <c r="Q68" s="71">
        <v>0.74819999999999998</v>
      </c>
      <c r="R68" s="71">
        <v>1.9275</v>
      </c>
      <c r="S68" s="71">
        <v>6.0570000000000004</v>
      </c>
      <c r="T68" s="71">
        <v>1433.1</v>
      </c>
      <c r="U68" s="71">
        <v>0.1179</v>
      </c>
      <c r="V68" s="71">
        <v>9.1829999999999998</v>
      </c>
      <c r="W68" s="71">
        <v>-4.9080000000000004</v>
      </c>
      <c r="X68" s="71">
        <v>1445.1</v>
      </c>
      <c r="Y68" s="71">
        <v>0.13619999999999999</v>
      </c>
      <c r="Z68" s="71">
        <v>7.4999999999999997E-2</v>
      </c>
      <c r="AA68" s="71">
        <v>1.593</v>
      </c>
      <c r="AB68" s="71">
        <v>3.84</v>
      </c>
      <c r="AC68" s="71">
        <v>7.1999999999999998E-3</v>
      </c>
      <c r="AD68" s="71">
        <v>2.109</v>
      </c>
      <c r="AE68" s="71">
        <v>-8.9999999999999998E-4</v>
      </c>
      <c r="AF68" s="71">
        <v>2.46E-2</v>
      </c>
      <c r="AG68" s="71">
        <v>0</v>
      </c>
      <c r="AH68" s="71">
        <v>0.39779999999999999</v>
      </c>
      <c r="AI68" s="71">
        <v>0</v>
      </c>
      <c r="AJ68" s="71">
        <v>2.9999999999999997E-4</v>
      </c>
      <c r="AK68" s="71">
        <v>-3.8999999999999998E-3</v>
      </c>
      <c r="AL68" s="71">
        <v>29.835000000000001</v>
      </c>
      <c r="AM68" s="71">
        <v>0.26129999999999998</v>
      </c>
      <c r="AN68" s="71">
        <v>0.98819999999999997</v>
      </c>
      <c r="AO68" s="71">
        <v>0.12690000000000001</v>
      </c>
      <c r="AP68" s="71">
        <v>1.26E-2</v>
      </c>
      <c r="AQ68" s="71">
        <v>6.5490000000000004</v>
      </c>
      <c r="AR68" s="71">
        <v>-5.9999999999999995E-4</v>
      </c>
      <c r="AS68" s="71">
        <v>-1.1999999999999999E-3</v>
      </c>
      <c r="AT68" s="71">
        <v>-2.9999999999999997E-4</v>
      </c>
      <c r="AU68" s="71">
        <v>-2.9999999999999997E-4</v>
      </c>
      <c r="AV68" s="71">
        <v>-5.9999999999999995E-4</v>
      </c>
      <c r="AW68" s="71">
        <v>0</v>
      </c>
      <c r="AX68" s="71">
        <v>-2.7000000000000001E-3</v>
      </c>
      <c r="AY68" s="71">
        <v>0</v>
      </c>
      <c r="AZ68" s="71">
        <v>-2.9999999999999997E-4</v>
      </c>
      <c r="BA68" s="77">
        <v>0</v>
      </c>
      <c r="BB68" s="77">
        <v>-2.9999999999999997E-4</v>
      </c>
      <c r="BC68" s="77">
        <v>0</v>
      </c>
      <c r="BD68" s="77">
        <v>-2.9999999999999997E-4</v>
      </c>
      <c r="BE68" s="77">
        <v>0</v>
      </c>
      <c r="BF68" s="77">
        <v>-2.9999999999999997E-4</v>
      </c>
      <c r="BG68" s="77">
        <v>1.1999999999999999E-3</v>
      </c>
      <c r="BH68" s="77">
        <v>4.2299999999999997E-2</v>
      </c>
      <c r="BI68" s="77">
        <v>-2.9999999999999997E-4</v>
      </c>
      <c r="BJ68" s="77">
        <v>7.1999999999999998E-3</v>
      </c>
      <c r="BK68" s="77">
        <v>2.0999999999999999E-3</v>
      </c>
      <c r="BL68" s="77">
        <v>-2.9999999999999997E-4</v>
      </c>
      <c r="BM68" s="77">
        <v>2.0999999999999999E-3</v>
      </c>
      <c r="BN68" s="77">
        <v>0.159</v>
      </c>
      <c r="BO68" s="77">
        <v>231.69</v>
      </c>
      <c r="BP68" s="77">
        <v>-2.8500000000000001E-2</v>
      </c>
      <c r="BQ68" s="77">
        <v>-3.0000000000000001E-3</v>
      </c>
      <c r="BR68" s="79"/>
    </row>
    <row r="69" spans="1:70" ht="15" x14ac:dyDescent="0.25">
      <c r="A69" s="74" t="s">
        <v>191</v>
      </c>
      <c r="B69" s="50" t="s">
        <v>81</v>
      </c>
      <c r="C69" s="75" t="s">
        <v>170</v>
      </c>
      <c r="D69" s="76"/>
      <c r="E69" s="71">
        <v>0.1434</v>
      </c>
      <c r="F69" s="71">
        <v>0</v>
      </c>
      <c r="G69" s="71">
        <v>92.94</v>
      </c>
      <c r="H69" s="71">
        <v>13.38</v>
      </c>
      <c r="I69" s="71">
        <v>792</v>
      </c>
      <c r="J69" s="71">
        <v>17.390999999999998</v>
      </c>
      <c r="K69" s="71">
        <v>412.8</v>
      </c>
      <c r="L69" s="71">
        <v>3084000</v>
      </c>
      <c r="M69" s="71">
        <v>0.28589999999999999</v>
      </c>
      <c r="N69" s="71">
        <v>131.22</v>
      </c>
      <c r="O69" s="71">
        <v>-3.6299999999999999E-2</v>
      </c>
      <c r="P69" s="71">
        <v>0.28589999999999999</v>
      </c>
      <c r="Q69" s="71">
        <v>0.68100000000000005</v>
      </c>
      <c r="R69" s="71">
        <v>1.7559</v>
      </c>
      <c r="S69" s="71">
        <v>5.7539999999999996</v>
      </c>
      <c r="T69" s="71">
        <v>1392.3</v>
      </c>
      <c r="U69" s="71">
        <v>0.1128</v>
      </c>
      <c r="V69" s="71">
        <v>9.0239999999999991</v>
      </c>
      <c r="W69" s="71">
        <v>-4.9139999999999997</v>
      </c>
      <c r="X69" s="71">
        <v>1652.4</v>
      </c>
      <c r="Y69" s="71">
        <v>0.13439999999999999</v>
      </c>
      <c r="Z69" s="71">
        <v>7.4099999999999999E-2</v>
      </c>
      <c r="AA69" s="71">
        <v>1.5402</v>
      </c>
      <c r="AB69" s="71">
        <v>4.3949999999999996</v>
      </c>
      <c r="AC69" s="71">
        <v>8.6999999999999994E-3</v>
      </c>
      <c r="AD69" s="71">
        <v>1.9197</v>
      </c>
      <c r="AE69" s="71">
        <v>-8.9999999999999998E-4</v>
      </c>
      <c r="AF69" s="71">
        <v>3.3599999999999998E-2</v>
      </c>
      <c r="AG69" s="71">
        <v>0</v>
      </c>
      <c r="AH69" s="71">
        <v>0.37290000000000001</v>
      </c>
      <c r="AI69" s="71">
        <v>-2.9999999999999997E-4</v>
      </c>
      <c r="AJ69" s="71">
        <v>2.9999999999999997E-4</v>
      </c>
      <c r="AK69" s="71">
        <v>-3.8999999999999998E-3</v>
      </c>
      <c r="AL69" s="71">
        <v>29.571000000000002</v>
      </c>
      <c r="AM69" s="71">
        <v>0.24690000000000001</v>
      </c>
      <c r="AN69" s="71">
        <v>1.0245</v>
      </c>
      <c r="AO69" s="71">
        <v>0.15870000000000001</v>
      </c>
      <c r="AP69" s="71">
        <v>1.41E-2</v>
      </c>
      <c r="AQ69" s="71">
        <v>6.7560000000000002</v>
      </c>
      <c r="AR69" s="71">
        <v>-5.9999999999999995E-4</v>
      </c>
      <c r="AS69" s="71">
        <v>-1.1999999999999999E-3</v>
      </c>
      <c r="AT69" s="71">
        <v>-2.9999999999999997E-4</v>
      </c>
      <c r="AU69" s="71">
        <v>-2.9999999999999997E-4</v>
      </c>
      <c r="AV69" s="71">
        <v>-5.9999999999999995E-4</v>
      </c>
      <c r="AW69" s="71">
        <v>0</v>
      </c>
      <c r="AX69" s="71">
        <v>-2.7000000000000001E-3</v>
      </c>
      <c r="AY69" s="71">
        <v>0</v>
      </c>
      <c r="AZ69" s="71">
        <v>-2.9999999999999997E-4</v>
      </c>
      <c r="BA69" s="77">
        <v>0</v>
      </c>
      <c r="BB69" s="77">
        <v>-2.9999999999999997E-4</v>
      </c>
      <c r="BC69" s="77">
        <v>0</v>
      </c>
      <c r="BD69" s="77">
        <v>-2.9999999999999997E-4</v>
      </c>
      <c r="BE69" s="77">
        <v>0</v>
      </c>
      <c r="BF69" s="77">
        <v>-2.9999999999999997E-4</v>
      </c>
      <c r="BG69" s="77">
        <v>0</v>
      </c>
      <c r="BH69" s="77">
        <v>5.67E-2</v>
      </c>
      <c r="BI69" s="77">
        <v>2.3999999999999998E-3</v>
      </c>
      <c r="BJ69" s="77">
        <v>1.26E-2</v>
      </c>
      <c r="BK69" s="77">
        <v>3.8999999999999998E-3</v>
      </c>
      <c r="BL69" s="77">
        <v>-2.9999999999999997E-4</v>
      </c>
      <c r="BM69" s="77">
        <v>2.0999999999999999E-3</v>
      </c>
      <c r="BN69" s="77">
        <v>0.1812</v>
      </c>
      <c r="BO69" s="77">
        <v>231.3</v>
      </c>
      <c r="BP69" s="77">
        <v>-2.8500000000000001E-2</v>
      </c>
      <c r="BQ69" s="77">
        <v>-3.0000000000000001E-3</v>
      </c>
      <c r="BR69" s="79"/>
    </row>
    <row r="70" spans="1:70" ht="15" x14ac:dyDescent="0.25">
      <c r="A70" s="74" t="s">
        <v>192</v>
      </c>
      <c r="B70" s="50" t="s">
        <v>82</v>
      </c>
      <c r="C70" s="75" t="s">
        <v>170</v>
      </c>
      <c r="D70" s="76"/>
      <c r="E70" s="71">
        <v>0.60199999999999998</v>
      </c>
      <c r="F70" s="71">
        <v>0</v>
      </c>
      <c r="G70" s="71">
        <v>359.52</v>
      </c>
      <c r="H70" s="71">
        <v>4.9420000000000002</v>
      </c>
      <c r="I70" s="71">
        <v>68670</v>
      </c>
      <c r="J70" s="71">
        <v>-0.61180000000000001</v>
      </c>
      <c r="K70" s="71">
        <v>468.86</v>
      </c>
      <c r="L70" s="71">
        <v>4258800</v>
      </c>
      <c r="M70" s="71">
        <v>3.3306</v>
      </c>
      <c r="N70" s="71">
        <v>284.89999999999998</v>
      </c>
      <c r="O70" s="71">
        <v>-8.5400000000000004E-2</v>
      </c>
      <c r="P70" s="71">
        <v>3.3306</v>
      </c>
      <c r="Q70" s="71">
        <v>7.7657999999999996</v>
      </c>
      <c r="R70" s="71">
        <v>0.61599999999999999</v>
      </c>
      <c r="S70" s="71">
        <v>0.63280000000000003</v>
      </c>
      <c r="T70" s="71">
        <v>1200.78</v>
      </c>
      <c r="U70" s="71">
        <v>7.4200000000000002E-2</v>
      </c>
      <c r="V70" s="71">
        <v>2.7328000000000001</v>
      </c>
      <c r="W70" s="71">
        <v>1923.6</v>
      </c>
      <c r="X70" s="71">
        <v>397.04</v>
      </c>
      <c r="Y70" s="71">
        <v>53.802</v>
      </c>
      <c r="Z70" s="71">
        <v>0.12180000000000001</v>
      </c>
      <c r="AA70" s="71">
        <v>0.72799999999999998</v>
      </c>
      <c r="AB70" s="71">
        <v>-0.1386</v>
      </c>
      <c r="AC70" s="71">
        <v>2.24E-2</v>
      </c>
      <c r="AD70" s="71">
        <v>8.1199999999999994E-2</v>
      </c>
      <c r="AE70" s="71">
        <v>1.54E-2</v>
      </c>
      <c r="AF70" s="71">
        <v>0.252</v>
      </c>
      <c r="AG70" s="71">
        <v>0</v>
      </c>
      <c r="AH70" s="71">
        <v>0.25340000000000001</v>
      </c>
      <c r="AI70" s="71">
        <v>1.4E-3</v>
      </c>
      <c r="AJ70" s="71">
        <v>1.4E-3</v>
      </c>
      <c r="AK70" s="71">
        <v>1.6799999999999999E-2</v>
      </c>
      <c r="AL70" s="71">
        <v>-0.50680000000000003</v>
      </c>
      <c r="AM70" s="71">
        <v>-5.5999999999999999E-3</v>
      </c>
      <c r="AN70" s="71">
        <v>-5.5999999999999999E-3</v>
      </c>
      <c r="AO70" s="71">
        <v>-6.5799999999999997E-2</v>
      </c>
      <c r="AP70" s="71">
        <v>5.74E-2</v>
      </c>
      <c r="AQ70" s="71">
        <v>2.6684000000000001</v>
      </c>
      <c r="AR70" s="71">
        <v>0.50119999999999998</v>
      </c>
      <c r="AS70" s="71">
        <v>9.9400000000000002E-2</v>
      </c>
      <c r="AT70" s="71">
        <v>8.3999999999999995E-3</v>
      </c>
      <c r="AU70" s="71">
        <v>2.8000000000000001E-2</v>
      </c>
      <c r="AV70" s="71">
        <v>2.8E-3</v>
      </c>
      <c r="AW70" s="71">
        <v>1.4E-3</v>
      </c>
      <c r="AX70" s="71">
        <v>-5.5999999999999999E-3</v>
      </c>
      <c r="AY70" s="71">
        <v>0</v>
      </c>
      <c r="AZ70" s="71">
        <v>2.8E-3</v>
      </c>
      <c r="BA70" s="77">
        <v>0</v>
      </c>
      <c r="BB70" s="77">
        <v>1.4E-3</v>
      </c>
      <c r="BC70" s="77">
        <v>0</v>
      </c>
      <c r="BD70" s="77">
        <v>0</v>
      </c>
      <c r="BE70" s="77">
        <v>0</v>
      </c>
      <c r="BF70" s="77">
        <v>9.7999999999999997E-3</v>
      </c>
      <c r="BG70" s="77">
        <v>1.4E-3</v>
      </c>
      <c r="BH70" s="77">
        <v>-0.126</v>
      </c>
      <c r="BI70" s="77">
        <v>-2.8E-3</v>
      </c>
      <c r="BJ70" s="77">
        <v>1.9599999999999999E-2</v>
      </c>
      <c r="BK70" s="77">
        <v>1.12E-2</v>
      </c>
      <c r="BL70" s="77">
        <v>0</v>
      </c>
      <c r="BM70" s="77">
        <v>0.10639999999999999</v>
      </c>
      <c r="BN70" s="77">
        <v>0.1792</v>
      </c>
      <c r="BO70" s="77">
        <v>0.45079999999999998</v>
      </c>
      <c r="BP70" s="77">
        <v>-0.1162</v>
      </c>
      <c r="BQ70" s="77">
        <v>9.3799999999999994E-2</v>
      </c>
      <c r="BR70" s="79"/>
    </row>
    <row r="71" spans="1:70" ht="15" x14ac:dyDescent="0.25">
      <c r="A71" s="74" t="s">
        <v>192</v>
      </c>
      <c r="B71" s="50" t="s">
        <v>82</v>
      </c>
      <c r="C71" s="75" t="s">
        <v>170</v>
      </c>
      <c r="D71" s="76"/>
      <c r="E71" s="71">
        <v>0.39900000000000002</v>
      </c>
      <c r="F71" s="71">
        <v>0</v>
      </c>
      <c r="G71" s="71">
        <v>341.04</v>
      </c>
      <c r="H71" s="71">
        <v>5.1478000000000002</v>
      </c>
      <c r="I71" s="71">
        <v>55384</v>
      </c>
      <c r="J71" s="71">
        <v>0.2394</v>
      </c>
      <c r="K71" s="71">
        <v>329.56</v>
      </c>
      <c r="L71" s="71">
        <v>4186000</v>
      </c>
      <c r="M71" s="71">
        <v>3.0253999999999999</v>
      </c>
      <c r="N71" s="71">
        <v>276.77999999999997</v>
      </c>
      <c r="O71" s="71">
        <v>8.9599999999999999E-2</v>
      </c>
      <c r="P71" s="71">
        <v>3.0253999999999999</v>
      </c>
      <c r="Q71" s="71">
        <v>7.0644</v>
      </c>
      <c r="R71" s="71">
        <v>0.48299999999999998</v>
      </c>
      <c r="S71" s="71">
        <v>0.6804</v>
      </c>
      <c r="T71" s="71">
        <v>1183.56</v>
      </c>
      <c r="U71" s="71">
        <v>6.7199999999999996E-2</v>
      </c>
      <c r="V71" s="71">
        <v>2.1825999999999999</v>
      </c>
      <c r="W71" s="71">
        <v>20.552</v>
      </c>
      <c r="X71" s="71">
        <v>41.048000000000002</v>
      </c>
      <c r="Y71" s="71">
        <v>51.113999999999997</v>
      </c>
      <c r="Z71" s="71">
        <v>7.1400000000000005E-2</v>
      </c>
      <c r="AA71" s="71">
        <v>0.60760000000000003</v>
      </c>
      <c r="AB71" s="71">
        <v>-0.2366</v>
      </c>
      <c r="AC71" s="71">
        <v>2.24E-2</v>
      </c>
      <c r="AD71" s="71">
        <v>0.12039999999999999</v>
      </c>
      <c r="AE71" s="71">
        <v>3.3599999999999998E-2</v>
      </c>
      <c r="AF71" s="71">
        <v>0.2114</v>
      </c>
      <c r="AG71" s="71">
        <v>0</v>
      </c>
      <c r="AH71" s="71">
        <v>6.5799999999999997E-2</v>
      </c>
      <c r="AI71" s="71">
        <v>0</v>
      </c>
      <c r="AJ71" s="71">
        <v>1.4E-3</v>
      </c>
      <c r="AK71" s="71">
        <v>3.78E-2</v>
      </c>
      <c r="AL71" s="71">
        <v>-0.749</v>
      </c>
      <c r="AM71" s="71">
        <v>-1.6799999999999999E-2</v>
      </c>
      <c r="AN71" s="71">
        <v>-4.1999999999999997E-3</v>
      </c>
      <c r="AO71" s="71">
        <v>-6.5799999999999997E-2</v>
      </c>
      <c r="AP71" s="71">
        <v>-2.52E-2</v>
      </c>
      <c r="AQ71" s="71">
        <v>2.3142</v>
      </c>
      <c r="AR71" s="71">
        <v>0.89880000000000004</v>
      </c>
      <c r="AS71" s="71">
        <v>0.17219999999999999</v>
      </c>
      <c r="AT71" s="71">
        <v>1.26E-2</v>
      </c>
      <c r="AU71" s="71">
        <v>5.8799999999999998E-2</v>
      </c>
      <c r="AV71" s="71">
        <v>7.0000000000000001E-3</v>
      </c>
      <c r="AW71" s="71">
        <v>1.4E-3</v>
      </c>
      <c r="AX71" s="71">
        <v>0</v>
      </c>
      <c r="AY71" s="71">
        <v>1.4E-3</v>
      </c>
      <c r="AZ71" s="71">
        <v>7.0000000000000001E-3</v>
      </c>
      <c r="BA71" s="77">
        <v>1.4E-3</v>
      </c>
      <c r="BB71" s="77">
        <v>4.1999999999999997E-3</v>
      </c>
      <c r="BC71" s="77">
        <v>0</v>
      </c>
      <c r="BD71" s="77">
        <v>0</v>
      </c>
      <c r="BE71" s="77">
        <v>0</v>
      </c>
      <c r="BF71" s="77">
        <v>0</v>
      </c>
      <c r="BG71" s="77">
        <v>0</v>
      </c>
      <c r="BH71" s="77">
        <v>-0.1358</v>
      </c>
      <c r="BI71" s="77">
        <v>-2.8E-3</v>
      </c>
      <c r="BJ71" s="77">
        <v>-2.8E-3</v>
      </c>
      <c r="BK71" s="77">
        <v>-4.1999999999999997E-3</v>
      </c>
      <c r="BL71" s="77">
        <v>1.4E-3</v>
      </c>
      <c r="BM71" s="77">
        <v>0.12180000000000001</v>
      </c>
      <c r="BN71" s="77">
        <v>-6.1600000000000002E-2</v>
      </c>
      <c r="BO71" s="77">
        <v>-8.5400000000000004E-2</v>
      </c>
      <c r="BP71" s="77">
        <v>-8.9599999999999999E-2</v>
      </c>
      <c r="BQ71" s="77">
        <v>0.1764</v>
      </c>
      <c r="BR71" s="79"/>
    </row>
    <row r="72" spans="1:70" ht="15" x14ac:dyDescent="0.25">
      <c r="A72" s="74" t="s">
        <v>192</v>
      </c>
      <c r="B72" s="50" t="s">
        <v>82</v>
      </c>
      <c r="C72" s="75" t="s">
        <v>170</v>
      </c>
      <c r="D72" s="76"/>
      <c r="E72" s="71">
        <v>0.52639999999999998</v>
      </c>
      <c r="F72" s="71">
        <v>0</v>
      </c>
      <c r="G72" s="71">
        <v>360.36</v>
      </c>
      <c r="H72" s="71">
        <v>5.1576000000000004</v>
      </c>
      <c r="I72" s="71">
        <v>55706</v>
      </c>
      <c r="J72" s="71">
        <v>-0.2772</v>
      </c>
      <c r="K72" s="71">
        <v>413.42</v>
      </c>
      <c r="L72" s="71">
        <v>4477200</v>
      </c>
      <c r="M72" s="71">
        <v>3.2816000000000001</v>
      </c>
      <c r="N72" s="71">
        <v>285.18</v>
      </c>
      <c r="O72" s="71">
        <v>7.2603999999999997</v>
      </c>
      <c r="P72" s="71">
        <v>3.2816000000000001</v>
      </c>
      <c r="Q72" s="71">
        <v>7.1189999999999998</v>
      </c>
      <c r="R72" s="71">
        <v>0.48020000000000002</v>
      </c>
      <c r="S72" s="71">
        <v>0.67620000000000002</v>
      </c>
      <c r="T72" s="71">
        <v>1240.1199999999999</v>
      </c>
      <c r="U72" s="71">
        <v>7.0000000000000007E-2</v>
      </c>
      <c r="V72" s="71">
        <v>2.1728000000000001</v>
      </c>
      <c r="W72" s="71">
        <v>2.968</v>
      </c>
      <c r="X72" s="71">
        <v>32.409999999999997</v>
      </c>
      <c r="Y72" s="71">
        <v>54.18</v>
      </c>
      <c r="Z72" s="71">
        <v>8.9599999999999999E-2</v>
      </c>
      <c r="AA72" s="71">
        <v>0.66080000000000005</v>
      </c>
      <c r="AB72" s="71">
        <v>-0.28139999999999998</v>
      </c>
      <c r="AC72" s="71">
        <v>1.9599999999999999E-2</v>
      </c>
      <c r="AD72" s="71">
        <v>0.12180000000000001</v>
      </c>
      <c r="AE72" s="71">
        <v>8.3999999999999995E-3</v>
      </c>
      <c r="AF72" s="71">
        <v>0.21840000000000001</v>
      </c>
      <c r="AG72" s="71">
        <v>0</v>
      </c>
      <c r="AH72" s="71">
        <v>6.3E-2</v>
      </c>
      <c r="AI72" s="71">
        <v>-1.4E-3</v>
      </c>
      <c r="AJ72" s="71">
        <v>3.5000000000000003E-2</v>
      </c>
      <c r="AK72" s="71">
        <v>0.14419999999999999</v>
      </c>
      <c r="AL72" s="71">
        <v>-0.78959999999999997</v>
      </c>
      <c r="AM72" s="71">
        <v>-1.6799999999999999E-2</v>
      </c>
      <c r="AN72" s="71">
        <v>-5.5999999999999999E-3</v>
      </c>
      <c r="AO72" s="71">
        <v>-6.0199999999999997E-2</v>
      </c>
      <c r="AP72" s="71">
        <v>-2.52E-2</v>
      </c>
      <c r="AQ72" s="71">
        <v>2.5493999999999999</v>
      </c>
      <c r="AR72" s="71">
        <v>0.62860000000000005</v>
      </c>
      <c r="AS72" s="71">
        <v>0.1246</v>
      </c>
      <c r="AT72" s="71">
        <v>8.3999999999999995E-3</v>
      </c>
      <c r="AU72" s="71">
        <v>2.9399999999999999E-2</v>
      </c>
      <c r="AV72" s="71">
        <v>0.3206</v>
      </c>
      <c r="AW72" s="71">
        <v>2.52E-2</v>
      </c>
      <c r="AX72" s="71">
        <v>1.9599999999999999E-2</v>
      </c>
      <c r="AY72" s="71">
        <v>2.8E-3</v>
      </c>
      <c r="AZ72" s="71">
        <v>0</v>
      </c>
      <c r="BA72" s="77">
        <v>8.3999999999999995E-3</v>
      </c>
      <c r="BB72" s="77">
        <v>1.4E-3</v>
      </c>
      <c r="BC72" s="77">
        <v>9.7999999999999997E-3</v>
      </c>
      <c r="BD72" s="77">
        <v>7.8399999999999997E-2</v>
      </c>
      <c r="BE72" s="77">
        <v>0</v>
      </c>
      <c r="BF72" s="77">
        <v>0</v>
      </c>
      <c r="BG72" s="77">
        <v>0</v>
      </c>
      <c r="BH72" s="77">
        <v>-0.1358</v>
      </c>
      <c r="BI72" s="77">
        <v>-2.8E-3</v>
      </c>
      <c r="BJ72" s="77">
        <v>-2.8E-3</v>
      </c>
      <c r="BK72" s="77">
        <v>-4.1999999999999997E-3</v>
      </c>
      <c r="BL72" s="77">
        <v>9.3799999999999994E-2</v>
      </c>
      <c r="BM72" s="77">
        <v>0.2394</v>
      </c>
      <c r="BN72" s="77">
        <v>-6.1600000000000002E-2</v>
      </c>
      <c r="BO72" s="77">
        <v>-0.112</v>
      </c>
      <c r="BP72" s="77">
        <v>0.371</v>
      </c>
      <c r="BQ72" s="77">
        <v>0.25900000000000001</v>
      </c>
      <c r="BR72" s="79"/>
    </row>
    <row r="73" spans="1:70" ht="15" x14ac:dyDescent="0.25">
      <c r="A73" s="74" t="s">
        <v>193</v>
      </c>
      <c r="B73" s="50" t="s">
        <v>83</v>
      </c>
      <c r="C73" s="75" t="s">
        <v>170</v>
      </c>
      <c r="D73" s="76"/>
      <c r="E73" s="71">
        <v>0.53039999999999998</v>
      </c>
      <c r="F73" s="71">
        <v>7.6799999999999993E-2</v>
      </c>
      <c r="G73" s="71">
        <v>428.8</v>
      </c>
      <c r="H73" s="71">
        <v>116.72</v>
      </c>
      <c r="I73" s="71">
        <v>605.20000000000005</v>
      </c>
      <c r="J73" s="71">
        <v>28.544</v>
      </c>
      <c r="K73" s="71">
        <v>6620</v>
      </c>
      <c r="L73" s="71">
        <v>1940400</v>
      </c>
      <c r="M73" s="71">
        <v>37.712000000000003</v>
      </c>
      <c r="N73" s="71">
        <v>526.4</v>
      </c>
      <c r="O73" s="71">
        <v>0.62119999999999997</v>
      </c>
      <c r="P73" s="71">
        <v>37.712000000000003</v>
      </c>
      <c r="Q73" s="71">
        <v>1.2323999999999999</v>
      </c>
      <c r="R73" s="71">
        <v>0.55520000000000003</v>
      </c>
      <c r="S73" s="71">
        <v>62.76</v>
      </c>
      <c r="T73" s="71">
        <v>955.2</v>
      </c>
      <c r="U73" s="71">
        <v>1.2423999999999999</v>
      </c>
      <c r="V73" s="71">
        <v>3.008</v>
      </c>
      <c r="W73" s="71">
        <v>76.92</v>
      </c>
      <c r="X73" s="71">
        <v>185.24</v>
      </c>
      <c r="Y73" s="71">
        <v>7.2800000000000004E-2</v>
      </c>
      <c r="Z73" s="71">
        <v>0.1368</v>
      </c>
      <c r="AA73" s="71">
        <v>1.3868</v>
      </c>
      <c r="AB73" s="71">
        <v>0.57679999999999998</v>
      </c>
      <c r="AC73" s="71">
        <v>2.2800000000000001E-2</v>
      </c>
      <c r="AD73" s="71">
        <v>23.251999999999999</v>
      </c>
      <c r="AE73" s="71">
        <v>1.42</v>
      </c>
      <c r="AF73" s="71">
        <v>1.1524000000000001</v>
      </c>
      <c r="AG73" s="71">
        <v>0</v>
      </c>
      <c r="AH73" s="71">
        <v>0.40360000000000001</v>
      </c>
      <c r="AI73" s="71">
        <v>-4.0000000000000002E-4</v>
      </c>
      <c r="AJ73" s="71">
        <v>4.0000000000000002E-4</v>
      </c>
      <c r="AK73" s="71">
        <v>9.9199999999999997E-2</v>
      </c>
      <c r="AL73" s="71">
        <v>8.5599999999999996E-2</v>
      </c>
      <c r="AM73" s="71">
        <v>8.3999999999999995E-3</v>
      </c>
      <c r="AN73" s="71">
        <v>4.4000000000000003E-3</v>
      </c>
      <c r="AO73" s="71">
        <v>-1.12E-2</v>
      </c>
      <c r="AP73" s="71">
        <v>-4.7999999999999996E-3</v>
      </c>
      <c r="AQ73" s="71">
        <v>18.084</v>
      </c>
      <c r="AR73" s="71">
        <v>1.0264</v>
      </c>
      <c r="AS73" s="71">
        <v>2.0628000000000002</v>
      </c>
      <c r="AT73" s="71">
        <v>0.23719999999999999</v>
      </c>
      <c r="AU73" s="71">
        <v>0.99319999999999997</v>
      </c>
      <c r="AV73" s="71">
        <v>0.2152</v>
      </c>
      <c r="AW73" s="71">
        <v>4.2799999999999998E-2</v>
      </c>
      <c r="AX73" s="71">
        <v>0.22559999999999999</v>
      </c>
      <c r="AY73" s="71">
        <v>3.04E-2</v>
      </c>
      <c r="AZ73" s="71">
        <v>0.17760000000000001</v>
      </c>
      <c r="BA73" s="77">
        <v>3.4000000000000002E-2</v>
      </c>
      <c r="BB73" s="77">
        <v>9.4E-2</v>
      </c>
      <c r="BC73" s="77">
        <v>1.2800000000000001E-2</v>
      </c>
      <c r="BD73" s="77">
        <v>7.3200000000000001E-2</v>
      </c>
      <c r="BE73" s="77">
        <v>8.8000000000000005E-3</v>
      </c>
      <c r="BF73" s="77">
        <v>3.6400000000000002E-2</v>
      </c>
      <c r="BG73" s="77">
        <v>4.0000000000000002E-4</v>
      </c>
      <c r="BH73" s="77">
        <v>1.9199999999999998E-2</v>
      </c>
      <c r="BI73" s="77">
        <v>1.2800000000000001E-2</v>
      </c>
      <c r="BJ73" s="77">
        <v>-8.0000000000000004E-4</v>
      </c>
      <c r="BK73" s="77">
        <v>-8.0000000000000004E-4</v>
      </c>
      <c r="BL73" s="77">
        <v>1.6000000000000001E-3</v>
      </c>
      <c r="BM73" s="77">
        <v>0.1168</v>
      </c>
      <c r="BN73" s="77">
        <v>-7.1999999999999998E-3</v>
      </c>
      <c r="BO73" s="77">
        <v>9.5600000000000004E-2</v>
      </c>
      <c r="BP73" s="77">
        <v>0.28760000000000002</v>
      </c>
      <c r="BQ73" s="77">
        <v>0.4592</v>
      </c>
      <c r="BR73" s="79"/>
    </row>
    <row r="74" spans="1:70" ht="15" x14ac:dyDescent="0.25">
      <c r="A74" s="74" t="s">
        <v>193</v>
      </c>
      <c r="B74" s="50" t="s">
        <v>83</v>
      </c>
      <c r="C74" s="75" t="s">
        <v>170</v>
      </c>
      <c r="D74" s="76"/>
      <c r="E74" s="71">
        <v>0.51359999999999995</v>
      </c>
      <c r="F74" s="71">
        <v>6.8000000000000005E-2</v>
      </c>
      <c r="G74" s="71">
        <v>426.8</v>
      </c>
      <c r="H74" s="71">
        <v>120.36</v>
      </c>
      <c r="I74" s="71">
        <v>608.4</v>
      </c>
      <c r="J74" s="71">
        <v>28.12</v>
      </c>
      <c r="K74" s="71">
        <v>6452</v>
      </c>
      <c r="L74" s="71">
        <v>1956400</v>
      </c>
      <c r="M74" s="71">
        <v>39.747999999999998</v>
      </c>
      <c r="N74" s="71">
        <v>518.79999999999995</v>
      </c>
      <c r="O74" s="71">
        <v>0.75719999999999998</v>
      </c>
      <c r="P74" s="71">
        <v>39.747999999999998</v>
      </c>
      <c r="Q74" s="71">
        <v>1.2684</v>
      </c>
      <c r="R74" s="71">
        <v>0.57040000000000002</v>
      </c>
      <c r="S74" s="71">
        <v>64.56</v>
      </c>
      <c r="T74" s="71">
        <v>947.2</v>
      </c>
      <c r="U74" s="71">
        <v>1.2856000000000001</v>
      </c>
      <c r="V74" s="71">
        <v>3.1023999999999998</v>
      </c>
      <c r="W74" s="71">
        <v>74.36</v>
      </c>
      <c r="X74" s="71">
        <v>184.32</v>
      </c>
      <c r="Y74" s="71">
        <v>6.2E-2</v>
      </c>
      <c r="Z74" s="71">
        <v>0.1656</v>
      </c>
      <c r="AA74" s="71">
        <v>1.4059999999999999</v>
      </c>
      <c r="AB74" s="71">
        <v>0.70679999999999998</v>
      </c>
      <c r="AC74" s="71">
        <v>2.24E-2</v>
      </c>
      <c r="AD74" s="71">
        <v>24.1</v>
      </c>
      <c r="AE74" s="71">
        <v>1.9832000000000001</v>
      </c>
      <c r="AF74" s="71">
        <v>1.006</v>
      </c>
      <c r="AG74" s="71">
        <v>0</v>
      </c>
      <c r="AH74" s="71">
        <v>0.41120000000000001</v>
      </c>
      <c r="AI74" s="71">
        <v>-4.0000000000000002E-4</v>
      </c>
      <c r="AJ74" s="71">
        <v>4.0000000000000002E-4</v>
      </c>
      <c r="AK74" s="71">
        <v>0.13320000000000001</v>
      </c>
      <c r="AL74" s="71">
        <v>-2E-3</v>
      </c>
      <c r="AM74" s="71">
        <v>6.4000000000000003E-3</v>
      </c>
      <c r="AN74" s="71">
        <v>4.7999999999999996E-3</v>
      </c>
      <c r="AO74" s="71">
        <v>-1.4E-2</v>
      </c>
      <c r="AP74" s="71">
        <v>-5.5999999999999999E-3</v>
      </c>
      <c r="AQ74" s="71">
        <v>18.16</v>
      </c>
      <c r="AR74" s="71">
        <v>1.3904000000000001</v>
      </c>
      <c r="AS74" s="71">
        <v>2.8096000000000001</v>
      </c>
      <c r="AT74" s="71">
        <v>0.34520000000000001</v>
      </c>
      <c r="AU74" s="71">
        <v>1.3484</v>
      </c>
      <c r="AV74" s="71">
        <v>0.3</v>
      </c>
      <c r="AW74" s="71">
        <v>5.5199999999999999E-2</v>
      </c>
      <c r="AX74" s="71">
        <v>0.30599999999999999</v>
      </c>
      <c r="AY74" s="71">
        <v>4.1200000000000001E-2</v>
      </c>
      <c r="AZ74" s="71">
        <v>0.25159999999999999</v>
      </c>
      <c r="BA74" s="77">
        <v>4.8000000000000001E-2</v>
      </c>
      <c r="BB74" s="77">
        <v>0.1216</v>
      </c>
      <c r="BC74" s="77">
        <v>1.6400000000000001E-2</v>
      </c>
      <c r="BD74" s="77">
        <v>9.4399999999999998E-2</v>
      </c>
      <c r="BE74" s="77">
        <v>1.2800000000000001E-2</v>
      </c>
      <c r="BF74" s="77">
        <v>2.92E-2</v>
      </c>
      <c r="BG74" s="77">
        <v>4.0000000000000002E-4</v>
      </c>
      <c r="BH74" s="77">
        <v>2.24E-2</v>
      </c>
      <c r="BI74" s="77">
        <v>1.32E-2</v>
      </c>
      <c r="BJ74" s="77">
        <v>-8.0000000000000004E-4</v>
      </c>
      <c r="BK74" s="77">
        <v>-8.0000000000000004E-4</v>
      </c>
      <c r="BL74" s="77">
        <v>1.6000000000000001E-3</v>
      </c>
      <c r="BM74" s="77">
        <v>0.19159999999999999</v>
      </c>
      <c r="BN74" s="77">
        <v>-9.1999999999999998E-3</v>
      </c>
      <c r="BO74" s="77">
        <v>4.7600000000000003E-2</v>
      </c>
      <c r="BP74" s="77">
        <v>0.34360000000000002</v>
      </c>
      <c r="BQ74" s="77">
        <v>0.63200000000000001</v>
      </c>
      <c r="BR74" s="79"/>
    </row>
    <row r="75" spans="1:70" ht="12.75" customHeight="1" x14ac:dyDescent="0.25">
      <c r="A75" s="74" t="s">
        <v>193</v>
      </c>
      <c r="B75" s="50" t="s">
        <v>83</v>
      </c>
      <c r="C75" s="75" t="s">
        <v>170</v>
      </c>
      <c r="D75" s="76"/>
      <c r="E75" s="71">
        <v>0.5292</v>
      </c>
      <c r="F75" s="71">
        <v>5.2400000000000002E-2</v>
      </c>
      <c r="G75" s="71">
        <v>430.4</v>
      </c>
      <c r="H75" s="71">
        <v>115.24</v>
      </c>
      <c r="I75" s="71">
        <v>584</v>
      </c>
      <c r="J75" s="71">
        <v>27.76</v>
      </c>
      <c r="K75" s="71">
        <v>6496</v>
      </c>
      <c r="L75" s="71">
        <v>1996800</v>
      </c>
      <c r="M75" s="71">
        <v>38.287999999999997</v>
      </c>
      <c r="N75" s="71">
        <v>529.20000000000005</v>
      </c>
      <c r="O75" s="71">
        <v>0.99280000000000002</v>
      </c>
      <c r="P75" s="71">
        <v>38.287999999999997</v>
      </c>
      <c r="Q75" s="71">
        <v>1.2272000000000001</v>
      </c>
      <c r="R75" s="71">
        <v>0.56240000000000001</v>
      </c>
      <c r="S75" s="71">
        <v>62.68</v>
      </c>
      <c r="T75" s="71">
        <v>954.8</v>
      </c>
      <c r="U75" s="71">
        <v>1.2363999999999999</v>
      </c>
      <c r="V75" s="71">
        <v>3.0044</v>
      </c>
      <c r="W75" s="71">
        <v>67</v>
      </c>
      <c r="X75" s="71">
        <v>179.6</v>
      </c>
      <c r="Y75" s="71">
        <v>6.4799999999999996E-2</v>
      </c>
      <c r="Z75" s="71">
        <v>0.19359999999999999</v>
      </c>
      <c r="AA75" s="71">
        <v>1.4468000000000001</v>
      </c>
      <c r="AB75" s="71">
        <v>0.58399999999999996</v>
      </c>
      <c r="AC75" s="71">
        <v>2.4799999999999999E-2</v>
      </c>
      <c r="AD75" s="71">
        <v>23.268000000000001</v>
      </c>
      <c r="AE75" s="71">
        <v>2.0188000000000001</v>
      </c>
      <c r="AF75" s="71">
        <v>0.89880000000000004</v>
      </c>
      <c r="AG75" s="71">
        <v>0</v>
      </c>
      <c r="AH75" s="71">
        <v>0.39960000000000001</v>
      </c>
      <c r="AI75" s="71">
        <v>4.0000000000000002E-4</v>
      </c>
      <c r="AJ75" s="71">
        <v>0</v>
      </c>
      <c r="AK75" s="71">
        <v>0.13200000000000001</v>
      </c>
      <c r="AL75" s="71">
        <v>-4.3999999999999997E-2</v>
      </c>
      <c r="AM75" s="71">
        <v>5.5999999999999999E-3</v>
      </c>
      <c r="AN75" s="71">
        <v>2.3999999999999998E-3</v>
      </c>
      <c r="AO75" s="71">
        <v>-1.4E-2</v>
      </c>
      <c r="AP75" s="71">
        <v>-5.1999999999999998E-3</v>
      </c>
      <c r="AQ75" s="71">
        <v>18.456</v>
      </c>
      <c r="AR75" s="71">
        <v>1.458</v>
      </c>
      <c r="AS75" s="71">
        <v>2.9079999999999999</v>
      </c>
      <c r="AT75" s="71">
        <v>0.35</v>
      </c>
      <c r="AU75" s="71">
        <v>1.4379999999999999</v>
      </c>
      <c r="AV75" s="71">
        <v>0.3024</v>
      </c>
      <c r="AW75" s="71">
        <v>6.3600000000000004E-2</v>
      </c>
      <c r="AX75" s="71">
        <v>0.31040000000000001</v>
      </c>
      <c r="AY75" s="71">
        <v>4.1200000000000001E-2</v>
      </c>
      <c r="AZ75" s="71">
        <v>0.25640000000000002</v>
      </c>
      <c r="BA75" s="71">
        <v>4.5999999999999999E-2</v>
      </c>
      <c r="BB75" s="71">
        <v>0.12479999999999999</v>
      </c>
      <c r="BC75" s="71">
        <v>1.6400000000000001E-2</v>
      </c>
      <c r="BD75" s="71">
        <v>9.8400000000000001E-2</v>
      </c>
      <c r="BE75" s="71">
        <v>1.1599999999999999E-2</v>
      </c>
      <c r="BF75" s="71">
        <v>2.52E-2</v>
      </c>
      <c r="BG75" s="71">
        <v>4.0000000000000002E-4</v>
      </c>
      <c r="BH75" s="71">
        <v>2.0400000000000001E-2</v>
      </c>
      <c r="BI75" s="71">
        <v>1.32E-2</v>
      </c>
      <c r="BJ75" s="71">
        <v>-8.0000000000000004E-4</v>
      </c>
      <c r="BK75" s="71">
        <v>-1.1999999999999999E-3</v>
      </c>
      <c r="BL75" s="71">
        <v>2.8E-3</v>
      </c>
      <c r="BM75" s="71">
        <v>0.20280000000000001</v>
      </c>
      <c r="BN75" s="76">
        <v>-1.12E-2</v>
      </c>
      <c r="BO75" s="76">
        <v>3.6799999999999999E-2</v>
      </c>
      <c r="BP75" s="76">
        <v>0.35560000000000003</v>
      </c>
      <c r="BQ75" s="76">
        <v>0.65159999999999996</v>
      </c>
    </row>
    <row r="76" spans="1:70" ht="12.75" customHeight="1" x14ac:dyDescent="0.25">
      <c r="A76" s="74" t="s">
        <v>194</v>
      </c>
      <c r="B76" s="50" t="s">
        <v>84</v>
      </c>
      <c r="C76" s="75" t="s">
        <v>170</v>
      </c>
      <c r="D76" s="76"/>
      <c r="E76" s="71">
        <v>0.70979999999999999</v>
      </c>
      <c r="F76" s="71">
        <v>0</v>
      </c>
      <c r="G76" s="71">
        <v>116.97</v>
      </c>
      <c r="H76" s="71">
        <v>12.192</v>
      </c>
      <c r="I76" s="71">
        <v>76.14</v>
      </c>
      <c r="J76" s="71">
        <v>4.3620000000000001</v>
      </c>
      <c r="K76" s="71">
        <v>1746.3</v>
      </c>
      <c r="L76" s="71">
        <v>5235000</v>
      </c>
      <c r="M76" s="71">
        <v>0.62039999999999995</v>
      </c>
      <c r="N76" s="71">
        <v>111.12</v>
      </c>
      <c r="O76" s="71">
        <v>0.1749</v>
      </c>
      <c r="P76" s="71">
        <v>0.62039999999999995</v>
      </c>
      <c r="Q76" s="71">
        <v>1.9863</v>
      </c>
      <c r="R76" s="71">
        <v>3.843</v>
      </c>
      <c r="S76" s="71">
        <v>3.6840000000000002</v>
      </c>
      <c r="T76" s="71">
        <v>1482.3</v>
      </c>
      <c r="U76" s="71">
        <v>4.8179999999999996</v>
      </c>
      <c r="V76" s="71">
        <v>4.2930000000000001</v>
      </c>
      <c r="W76" s="71">
        <v>27063</v>
      </c>
      <c r="X76" s="71">
        <v>458700</v>
      </c>
      <c r="Y76" s="71">
        <v>4.8300000000000003E-2</v>
      </c>
      <c r="Z76" s="71">
        <v>0.57120000000000004</v>
      </c>
      <c r="AA76" s="71">
        <v>17.675999999999998</v>
      </c>
      <c r="AB76" s="71">
        <v>62.37</v>
      </c>
      <c r="AC76" s="71">
        <v>3.3599999999999998E-2</v>
      </c>
      <c r="AD76" s="71">
        <v>1.2603</v>
      </c>
      <c r="AE76" s="71">
        <v>1.32E-2</v>
      </c>
      <c r="AF76" s="71">
        <v>0.22919999999999999</v>
      </c>
      <c r="AG76" s="71">
        <v>0</v>
      </c>
      <c r="AH76" s="71">
        <v>51.84</v>
      </c>
      <c r="AI76" s="71">
        <v>1.5E-3</v>
      </c>
      <c r="AJ76" s="71">
        <v>3.5999999999999999E-3</v>
      </c>
      <c r="AK76" s="71">
        <v>0.1101</v>
      </c>
      <c r="AL76" s="71">
        <v>5.6219999999999999</v>
      </c>
      <c r="AM76" s="71">
        <v>0.06</v>
      </c>
      <c r="AN76" s="71">
        <v>5.0099999999999999E-2</v>
      </c>
      <c r="AO76" s="71">
        <v>-7.1999999999999998E-3</v>
      </c>
      <c r="AP76" s="71">
        <v>8.6999999999999994E-3</v>
      </c>
      <c r="AQ76" s="71">
        <v>1.7493000000000001</v>
      </c>
      <c r="AR76" s="71">
        <v>1.6500000000000001E-2</v>
      </c>
      <c r="AS76" s="71">
        <v>4.8300000000000003E-2</v>
      </c>
      <c r="AT76" s="71">
        <v>5.7000000000000002E-3</v>
      </c>
      <c r="AU76" s="71">
        <v>1.17E-2</v>
      </c>
      <c r="AV76" s="71">
        <v>6.6E-3</v>
      </c>
      <c r="AW76" s="71">
        <v>2.9999999999999997E-4</v>
      </c>
      <c r="AX76" s="71">
        <v>-8.9999999999999998E-4</v>
      </c>
      <c r="AY76" s="71">
        <v>0</v>
      </c>
      <c r="AZ76" s="71">
        <v>2.9999999999999997E-4</v>
      </c>
      <c r="BA76" s="71">
        <v>0</v>
      </c>
      <c r="BB76" s="71">
        <v>2.9999999999999997E-4</v>
      </c>
      <c r="BC76" s="71">
        <v>5.9999999999999995E-4</v>
      </c>
      <c r="BD76" s="71">
        <v>1.5E-3</v>
      </c>
      <c r="BE76" s="71">
        <v>2.9999999999999997E-4</v>
      </c>
      <c r="BF76" s="71">
        <v>5.1000000000000004E-3</v>
      </c>
      <c r="BG76" s="71">
        <v>0</v>
      </c>
      <c r="BH76" s="71">
        <v>0.30449999999999999</v>
      </c>
      <c r="BI76" s="71">
        <v>0.2127</v>
      </c>
      <c r="BJ76" s="71">
        <v>-2.9999999999999997E-4</v>
      </c>
      <c r="BK76" s="71">
        <v>-5.9999999999999995E-4</v>
      </c>
      <c r="BL76" s="71">
        <v>2.3999999999999998E-3</v>
      </c>
      <c r="BM76" s="71">
        <v>0.23730000000000001</v>
      </c>
      <c r="BN76" s="76">
        <v>12.318</v>
      </c>
      <c r="BO76" s="76">
        <v>0.13439999999999999</v>
      </c>
      <c r="BP76" s="76">
        <v>0.09</v>
      </c>
      <c r="BQ76" s="76">
        <v>1.2705</v>
      </c>
    </row>
    <row r="77" spans="1:70" ht="12.75" customHeight="1" x14ac:dyDescent="0.25">
      <c r="A77" s="74" t="s">
        <v>194</v>
      </c>
      <c r="B77" s="50" t="s">
        <v>84</v>
      </c>
      <c r="C77" s="75" t="s">
        <v>170</v>
      </c>
      <c r="D77" s="76"/>
      <c r="E77" s="71">
        <v>0.17130000000000001</v>
      </c>
      <c r="F77" s="71">
        <v>1.1999999999999999E-3</v>
      </c>
      <c r="G77" s="71">
        <v>98.64</v>
      </c>
      <c r="H77" s="71">
        <v>11.978999999999999</v>
      </c>
      <c r="I77" s="71">
        <v>70.290000000000006</v>
      </c>
      <c r="J77" s="71">
        <v>3.3570000000000002</v>
      </c>
      <c r="K77" s="71">
        <v>1129.8</v>
      </c>
      <c r="L77" s="71">
        <v>5061000</v>
      </c>
      <c r="M77" s="71">
        <v>0.44669999999999999</v>
      </c>
      <c r="N77" s="71">
        <v>108.3</v>
      </c>
      <c r="O77" s="71">
        <v>0.31769999999999998</v>
      </c>
      <c r="P77" s="71">
        <v>0.44669999999999999</v>
      </c>
      <c r="Q77" s="71">
        <v>1.9488000000000001</v>
      </c>
      <c r="R77" s="71">
        <v>3.7919999999999998</v>
      </c>
      <c r="S77" s="71">
        <v>3.6240000000000001</v>
      </c>
      <c r="T77" s="71">
        <v>1420.5</v>
      </c>
      <c r="U77" s="71">
        <v>4.7430000000000003</v>
      </c>
      <c r="V77" s="71">
        <v>4.2359999999999998</v>
      </c>
      <c r="W77" s="71">
        <v>26634</v>
      </c>
      <c r="X77" s="71">
        <v>454500</v>
      </c>
      <c r="Y77" s="71">
        <v>4.3200000000000002E-2</v>
      </c>
      <c r="Z77" s="71">
        <v>0.1434</v>
      </c>
      <c r="AA77" s="71">
        <v>18.213000000000001</v>
      </c>
      <c r="AB77" s="71">
        <v>62.97</v>
      </c>
      <c r="AC77" s="71">
        <v>1.35E-2</v>
      </c>
      <c r="AD77" s="71">
        <v>1.2534000000000001</v>
      </c>
      <c r="AE77" s="71">
        <v>2.1000000000000001E-2</v>
      </c>
      <c r="AF77" s="71">
        <v>0.1875</v>
      </c>
      <c r="AG77" s="71">
        <v>0</v>
      </c>
      <c r="AH77" s="71">
        <v>52.74</v>
      </c>
      <c r="AI77" s="71">
        <v>1.32E-2</v>
      </c>
      <c r="AJ77" s="71">
        <v>8.9999999999999993E-3</v>
      </c>
      <c r="AK77" s="71">
        <v>9.3299999999999994E-2</v>
      </c>
      <c r="AL77" s="71">
        <v>5.7839999999999998</v>
      </c>
      <c r="AM77" s="71">
        <v>5.79E-2</v>
      </c>
      <c r="AN77" s="71">
        <v>5.0999999999999997E-2</v>
      </c>
      <c r="AO77" s="71">
        <v>-9.2999999999999992E-3</v>
      </c>
      <c r="AP77" s="71">
        <v>8.6999999999999994E-3</v>
      </c>
      <c r="AQ77" s="71">
        <v>1.6311</v>
      </c>
      <c r="AR77" s="71">
        <v>3.0599999999999999E-2</v>
      </c>
      <c r="AS77" s="71">
        <v>6.7799999999999999E-2</v>
      </c>
      <c r="AT77" s="71">
        <v>6.0000000000000001E-3</v>
      </c>
      <c r="AU77" s="71">
        <v>2.01E-2</v>
      </c>
      <c r="AV77" s="71">
        <v>3.0000000000000001E-3</v>
      </c>
      <c r="AW77" s="71">
        <v>8.9999999999999998E-4</v>
      </c>
      <c r="AX77" s="71">
        <v>1.8E-3</v>
      </c>
      <c r="AY77" s="71">
        <v>2.9999999999999997E-4</v>
      </c>
      <c r="AZ77" s="71">
        <v>2.7000000000000001E-3</v>
      </c>
      <c r="BA77" s="71">
        <v>2.9999999999999997E-4</v>
      </c>
      <c r="BB77" s="71">
        <v>1.5E-3</v>
      </c>
      <c r="BC77" s="71">
        <v>2.9999999999999997E-4</v>
      </c>
      <c r="BD77" s="71">
        <v>1.1999999999999999E-3</v>
      </c>
      <c r="BE77" s="71">
        <v>2.9999999999999997E-4</v>
      </c>
      <c r="BF77" s="71">
        <v>3.8999999999999998E-3</v>
      </c>
      <c r="BG77" s="71">
        <v>0</v>
      </c>
      <c r="BH77" s="71">
        <v>0.3624</v>
      </c>
      <c r="BI77" s="71">
        <v>0.216</v>
      </c>
      <c r="BJ77" s="71">
        <v>0</v>
      </c>
      <c r="BK77" s="71">
        <v>-5.9999999999999995E-4</v>
      </c>
      <c r="BL77" s="71">
        <v>8.9999999999999998E-4</v>
      </c>
      <c r="BM77" s="71">
        <v>0.27029999999999998</v>
      </c>
      <c r="BN77" s="76">
        <v>12.504</v>
      </c>
      <c r="BO77" s="76">
        <v>0.12239999999999999</v>
      </c>
      <c r="BP77" s="76">
        <v>9.2999999999999999E-2</v>
      </c>
      <c r="BQ77" s="76">
        <v>1.9164000000000001</v>
      </c>
    </row>
    <row r="78" spans="1:70" ht="12.75" customHeight="1" x14ac:dyDescent="0.25">
      <c r="A78" s="74" t="s">
        <v>194</v>
      </c>
      <c r="B78" s="50" t="s">
        <v>84</v>
      </c>
      <c r="C78" s="75" t="s">
        <v>170</v>
      </c>
      <c r="D78" s="76"/>
      <c r="E78" s="71">
        <v>0.11609999999999999</v>
      </c>
      <c r="F78" s="71">
        <v>2.7000000000000001E-3</v>
      </c>
      <c r="G78" s="71">
        <v>99.39</v>
      </c>
      <c r="H78" s="71">
        <v>12.048</v>
      </c>
      <c r="I78" s="71">
        <v>69.84</v>
      </c>
      <c r="J78" s="71">
        <v>4.4729999999999999</v>
      </c>
      <c r="K78" s="71">
        <v>1208.7</v>
      </c>
      <c r="L78" s="71">
        <v>5415000</v>
      </c>
      <c r="M78" s="71">
        <v>0.4113</v>
      </c>
      <c r="N78" s="71">
        <v>110.85</v>
      </c>
      <c r="O78" s="71">
        <v>0.2079</v>
      </c>
      <c r="P78" s="71">
        <v>0.4113</v>
      </c>
      <c r="Q78" s="71">
        <v>1.9587000000000001</v>
      </c>
      <c r="R78" s="71">
        <v>3.81</v>
      </c>
      <c r="S78" s="71">
        <v>3.6539999999999999</v>
      </c>
      <c r="T78" s="71">
        <v>1469.4</v>
      </c>
      <c r="U78" s="71">
        <v>4.8</v>
      </c>
      <c r="V78" s="71">
        <v>4.32</v>
      </c>
      <c r="W78" s="71">
        <v>27090</v>
      </c>
      <c r="X78" s="71">
        <v>462300</v>
      </c>
      <c r="Y78" s="71">
        <v>4.8599999999999997E-2</v>
      </c>
      <c r="Z78" s="71">
        <v>0.10349999999999999</v>
      </c>
      <c r="AA78" s="71">
        <v>19.974</v>
      </c>
      <c r="AB78" s="71">
        <v>61.5</v>
      </c>
      <c r="AC78" s="71">
        <v>1.6500000000000001E-2</v>
      </c>
      <c r="AD78" s="71">
        <v>1.2672000000000001</v>
      </c>
      <c r="AE78" s="71">
        <v>2.07E-2</v>
      </c>
      <c r="AF78" s="71">
        <v>0.16259999999999999</v>
      </c>
      <c r="AG78" s="71">
        <v>0</v>
      </c>
      <c r="AH78" s="71">
        <v>54.06</v>
      </c>
      <c r="AI78" s="71">
        <v>3.0599999999999999E-2</v>
      </c>
      <c r="AJ78" s="71">
        <v>1.0800000000000001E-2</v>
      </c>
      <c r="AK78" s="71">
        <v>8.7300000000000003E-2</v>
      </c>
      <c r="AL78" s="71">
        <v>5.9489999999999998</v>
      </c>
      <c r="AM78" s="71">
        <v>6.0600000000000001E-2</v>
      </c>
      <c r="AN78" s="71">
        <v>5.7299999999999997E-2</v>
      </c>
      <c r="AO78" s="71">
        <v>-8.6999999999999994E-3</v>
      </c>
      <c r="AP78" s="71">
        <v>8.3999999999999995E-3</v>
      </c>
      <c r="AQ78" s="71">
        <v>1.7186999999999999</v>
      </c>
      <c r="AR78" s="71">
        <v>3.09E-2</v>
      </c>
      <c r="AS78" s="71">
        <v>6.7199999999999996E-2</v>
      </c>
      <c r="AT78" s="71">
        <v>6.6E-3</v>
      </c>
      <c r="AU78" s="71">
        <v>2.1600000000000001E-2</v>
      </c>
      <c r="AV78" s="71">
        <v>5.1000000000000004E-3</v>
      </c>
      <c r="AW78" s="71">
        <v>8.9999999999999998E-4</v>
      </c>
      <c r="AX78" s="71">
        <v>1.1999999999999999E-3</v>
      </c>
      <c r="AY78" s="71">
        <v>5.9999999999999995E-4</v>
      </c>
      <c r="AZ78" s="71">
        <v>2.7000000000000001E-3</v>
      </c>
      <c r="BA78" s="71">
        <v>5.9999999999999995E-4</v>
      </c>
      <c r="BB78" s="71">
        <v>1.5E-3</v>
      </c>
      <c r="BC78" s="71">
        <v>2.9999999999999997E-4</v>
      </c>
      <c r="BD78" s="71">
        <v>1.5E-3</v>
      </c>
      <c r="BE78" s="71">
        <v>2.9999999999999997E-4</v>
      </c>
      <c r="BF78" s="71">
        <v>3.5999999999999999E-3</v>
      </c>
      <c r="BG78" s="71">
        <v>0</v>
      </c>
      <c r="BH78" s="71">
        <v>0.37080000000000002</v>
      </c>
      <c r="BI78" s="71">
        <v>0.2301</v>
      </c>
      <c r="BJ78" s="71">
        <v>0</v>
      </c>
      <c r="BK78" s="71">
        <v>-5.9999999999999995E-4</v>
      </c>
      <c r="BL78" s="71">
        <v>1.1999999999999999E-3</v>
      </c>
      <c r="BM78" s="71">
        <v>0.25409999999999999</v>
      </c>
      <c r="BN78" s="76">
        <v>13.382999999999999</v>
      </c>
      <c r="BO78" s="76">
        <v>0.14130000000000001</v>
      </c>
      <c r="BP78" s="76">
        <v>8.8499999999999995E-2</v>
      </c>
      <c r="BQ78" s="76">
        <v>2.0198999999999998</v>
      </c>
    </row>
  </sheetData>
  <mergeCells count="4">
    <mergeCell ref="A1:P1"/>
    <mergeCell ref="A2:A3"/>
    <mergeCell ref="B2:B3"/>
    <mergeCell ref="C2:C3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COA Details</vt:lpstr>
      <vt:lpstr>Lab Sheet </vt:lpstr>
      <vt:lpstr>Original ATS  Sample Results</vt:lpstr>
      <vt:lpstr>'COA Details'!Print_Area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</dc:creator>
  <dc:description/>
  <cp:lastModifiedBy>Irakli Javakhadze</cp:lastModifiedBy>
  <cp:revision>204</cp:revision>
  <cp:lastPrinted>2023-03-21T16:06:34Z</cp:lastPrinted>
  <dcterms:created xsi:type="dcterms:W3CDTF">2023-01-16T11:06:20Z</dcterms:created>
  <dcterms:modified xsi:type="dcterms:W3CDTF">2025-12-09T03:29:29Z</dcterms:modified>
  <dc:language>en-US</dc:language>
</cp:coreProperties>
</file>